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3-Month Roadmap" sheetId="2" state="visible" r:id="rId4"/>
  </sheets>
  <definedNames>
    <definedName function="false" hidden="true" localSheetId="1" name="_xlnm._FilterDatabase" vbProcedure="false">'3-Month Roadmap'!$A$3:$L$94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<sst xmlns="http://schemas.openxmlformats.org/spreadsheetml/2006/main" count="787" uniqueCount="390">
  <si>
    <t xml:space="preserve">📊 Roadmap Progress Dashboard</t>
  </si>
  <si>
    <t xml:space="preserve">Auto-updates as you change Status in the '3-Month Roadmap' tab.</t>
  </si>
  <si>
    <t xml:space="preserve">Metric</t>
  </si>
  <si>
    <t xml:space="preserve">Count</t>
  </si>
  <si>
    <t xml:space="preserve">Total Study Days</t>
  </si>
  <si>
    <t xml:space="preserve">Days Done</t>
  </si>
  <si>
    <t xml:space="preserve">Days In Progress</t>
  </si>
  <si>
    <t xml:space="preserve">Days Not Started</t>
  </si>
  <si>
    <t xml:space="preserve">% Complete</t>
  </si>
  <si>
    <t xml:space="preserve">High Priority Remaining</t>
  </si>
  <si>
    <t xml:space="preserve">Month 1 Days Done</t>
  </si>
  <si>
    <t xml:space="preserve">Month 2 Days Done</t>
  </si>
  <si>
    <t xml:space="preserve">Month 3 Days Done</t>
  </si>
  <si>
    <t xml:space="preserve">Weekly Themes Reference</t>
  </si>
  <si>
    <t xml:space="preserve">Month</t>
  </si>
  <si>
    <t xml:space="preserve">Week</t>
  </si>
  <si>
    <t xml:space="preserve">Theme</t>
  </si>
  <si>
    <t xml:space="preserve">Total Hours (approx.)</t>
  </si>
  <si>
    <t xml:space="preserve">Focus Area</t>
  </si>
  <si>
    <t xml:space="preserve">SQL Mastery + Azure Cloud Fundamentals</t>
  </si>
  <si>
    <t xml:space="preserve">~15-18 hrs</t>
  </si>
  <si>
    <t xml:space="preserve">Foundations (SQL/Python/Azure Basics)</t>
  </si>
  <si>
    <t xml:space="preserve">Python for Data Engineering</t>
  </si>
  <si>
    <t xml:space="preserve">Azure Storage, ADLS Gen2 &amp; Data Modeling</t>
  </si>
  <si>
    <t xml:space="preserve">Azure Data Factory (ADF) Deep Dive</t>
  </si>
  <si>
    <t xml:space="preserve">Azure Databricks &amp; Delta Lake</t>
  </si>
  <si>
    <t xml:space="preserve">Core Azure + AI/ML Crossover</t>
  </si>
  <si>
    <t xml:space="preserve">Azure Synapse Analytics &amp; Azure SQL</t>
  </si>
  <si>
    <t xml:space="preserve">AI/ML Fundamentals for Data Engineers</t>
  </si>
  <si>
    <t xml:space="preserve">Azure AI Services, Azure ML &amp; Modern AI Data Patterns</t>
  </si>
  <si>
    <t xml:space="preserve">System Design for Data Pipelines - Part 1</t>
  </si>
  <si>
    <t xml:space="preserve">System Design + Interview Sprint</t>
  </si>
  <si>
    <t xml:space="preserve">System Design Part 2 + Big 4 / Enterprise Patterns</t>
  </si>
  <si>
    <t xml:space="preserve">Mock Interviews &amp; Weak-Area Sprint</t>
  </si>
  <si>
    <t xml:space="preserve">Resume Polish, Targeted Applications &amp; Mock Round 2</t>
  </si>
  <si>
    <t xml:space="preserve">Final Interview Sprint &amp; Buffer Week</t>
  </si>
  <si>
    <t xml:space="preserve">🗺️ 3-Month Azure Data Engineer + AI Roadmap (Beginner → Interview-Ready)</t>
  </si>
  <si>
    <t xml:space="preserve">Day-by-day plan · Mon-Fri: 2-3 hrs new content · Saturday: revision + hands-on project · Sunday: rest</t>
  </si>
  <si>
    <t xml:space="preserve">Day</t>
  </si>
  <si>
    <t xml:space="preserve">Date</t>
  </si>
  <si>
    <t xml:space="preserve">Main Topic</t>
  </si>
  <si>
    <t xml:space="preserve">Sub-Concepts (Detailed)</t>
  </si>
  <si>
    <t xml:space="preserve">Resource Type</t>
  </si>
  <si>
    <t xml:space="preserve">Resource Name + Link</t>
  </si>
  <si>
    <t xml:space="preserve">Est. Time</t>
  </si>
  <si>
    <t xml:space="preserve">Status</t>
  </si>
  <si>
    <t xml:space="preserve">Priority</t>
  </si>
  <si>
    <t xml:space="preserve">Notes</t>
  </si>
  <si>
    <t xml:space="preserve">  MONTH 1  ·  WEEK 1  —  SQL Mastery + Azure Cloud Fundamentals</t>
  </si>
  <si>
    <t xml:space="preserve">Mon</t>
  </si>
  <si>
    <t xml:space="preserve">SQL Foundations Refresher</t>
  </si>
  <si>
    <t xml:space="preserve">SELECT/WHERE/GROUP BY/HAVING; JOINS (INNER/LEFT/RIGHT/FULL/SELF) with multi-table examples; set theory behind joins</t>
  </si>
  <si>
    <t xml:space="preserve">YouTube</t>
  </si>
  <si>
    <t xml:space="preserve">Luke Barousse - SQL for Data Analytics (free) https://youtube.com/@LukeBarousse</t>
  </si>
  <si>
    <t xml:space="preserve">2.5 hrs</t>
  </si>
  <si>
    <t xml:space="preserve">Not Started</t>
  </si>
  <si>
    <t xml:space="preserve">High</t>
  </si>
  <si>
    <t xml:space="preserve">Practice every join type by hand before running queries</t>
  </si>
  <si>
    <t xml:space="preserve">Tue</t>
  </si>
  <si>
    <t xml:space="preserve">SQL Window Functions</t>
  </si>
  <si>
    <t xml:space="preserve">ROW_NUMBER, RANK, DENSE_RANK, NTILE; LAG/LEAD; PARTITION BY logic; running totals &amp; moving averages</t>
  </si>
  <si>
    <t xml:space="preserve">Course</t>
  </si>
  <si>
    <t xml:space="preserve">Mode Analytics SQL Tutorial - Window Functions https://mode.com/sql-tutorial/sql-window-functions/</t>
  </si>
  <si>
    <t xml:space="preserve">Window functions are the #1 SQL interview filter at Big 4/MAANG</t>
  </si>
  <si>
    <t xml:space="preserve">Wed</t>
  </si>
  <si>
    <t xml:space="preserve">SQL Advanced - CTEs &amp; Subqueries</t>
  </si>
  <si>
    <t xml:space="preserve">Recursive CTEs; correlated vs non-correlated subqueries; EXISTS vs IN vs JOIN performance tradeoffs</t>
  </si>
  <si>
    <t xml:space="preserve">Doc</t>
  </si>
  <si>
    <t xml:space="preserve">Microsoft Learn - Use CTEs in T-SQL https://learn.microsoft.com/en-us/sql/t-sql/queries/with-common-table-expression-transact-sql</t>
  </si>
  <si>
    <t xml:space="preserve">Recursive CTEs commonly asked for org-hierarchy problems</t>
  </si>
  <si>
    <t xml:space="preserve">Thu</t>
  </si>
  <si>
    <t xml:space="preserve">SQL Query Optimization</t>
  </si>
  <si>
    <t xml:space="preserve">Execution plans; indexing strategy (clustered vs non-clustered); query rewriting for performance; partitioning basics</t>
  </si>
  <si>
    <t xml:space="preserve">Decoded by Suraj - SQL Query Optimization https://youtube.com/@decodedbysuraj</t>
  </si>
  <si>
    <t xml:space="preserve">Medium</t>
  </si>
  <si>
    <t xml:space="preserve">Be ready to explain how you optimized a slow query in past projects</t>
  </si>
  <si>
    <t xml:space="preserve">Fri</t>
  </si>
  <si>
    <t xml:space="preserve">Azure Fundamentals (AZ-900 core)</t>
  </si>
  <si>
    <t xml:space="preserve">Azure global infra (regions/AZs); core services map; Azure Resource Manager; subscriptions/resource groups; IAM basics (RBAC)</t>
  </si>
  <si>
    <t xml:space="preserve">Microsoft Learn - AZ-900 Path https://learn.microsoft.com/en-us/training/paths/microsoft-azure-fundamentals-describe-cloud-concepts/</t>
  </si>
  <si>
    <t xml:space="preserve">Skip if already AZ-900 certified; skim for gaps only</t>
  </si>
  <si>
    <t xml:space="preserve">Sat</t>
  </si>
  <si>
    <t xml:space="preserve">Revision + Hands-on: SQL Practice Lab</t>
  </si>
  <si>
    <t xml:space="preserve">Solve 15 SQL problems (joins, window fns, CTEs) on a practice DB; document 3 tricky queries with explanation</t>
  </si>
  <si>
    <t xml:space="preserve">StrataScratch / LeetCode Database (free tier) https://leetcode.com/studyplan/sql/</t>
  </si>
  <si>
    <t xml:space="preserve">3 hrs</t>
  </si>
  <si>
    <t xml:space="preserve">Maintain a personal 'SQL patterns' notes doc - reuse this in mock interviews</t>
  </si>
  <si>
    <t xml:space="preserve">  MONTH 1  ·  WEEK 2  —  Python for Data Engineering</t>
  </si>
  <si>
    <t xml:space="preserve">Python Core Refresher</t>
  </si>
  <si>
    <t xml:space="preserve">Data structures (list/dict/set/tuple) performance; comprehensions; *args/**kwargs; generators &amp; iterators</t>
  </si>
  <si>
    <t xml:space="preserve">Corey Schafer - Python Intermediate Series https://youtube.com/@coreyms</t>
  </si>
  <si>
    <t xml:space="preserve">Skip basics if confident; focus on generators (used heavily in ETL)</t>
  </si>
  <si>
    <t xml:space="preserve">Pandas for ETL</t>
  </si>
  <si>
    <t xml:space="preserve">DataFrame ops (merge/groupby/pivot/melt); handling nulls &amp; dtypes; vectorization vs apply() performance; chunked reading for large files</t>
  </si>
  <si>
    <t xml:space="preserve">Kaggle - Pandas Micro-course (free) https://www.kaggle.com/learn/pandas</t>
  </si>
  <si>
    <t xml:space="preserve">Practice on a 1M+ row CSV to feel real performance differences</t>
  </si>
  <si>
    <t xml:space="preserve">PySpark Fundamentals I</t>
  </si>
  <si>
    <t xml:space="preserve">Spark architecture (driver/executor/cluster manager); RDD vs DataFrame vs Dataset; lazy evaluation; transformations vs actions</t>
  </si>
  <si>
    <t xml:space="preserve">Afaque Ahmad - PySpark Tutorial Series https://youtube.com/@AfaqueAhmad</t>
  </si>
  <si>
    <t xml:space="preserve">Core for Databricks interviews - understand WHY lazy eval matters</t>
  </si>
  <si>
    <t xml:space="preserve">PySpark Fundamentals II</t>
  </si>
  <si>
    <t xml:space="preserve">DataFrame API deep dive (select/filter/withColumn/groupBy/agg); UDFs vs built-in functions; broadcast variables; partitioning &amp; shuffling</t>
  </si>
  <si>
    <t xml:space="preserve">Apache Spark Official Docs - DataFrame Guide https://spark.apache.org/docs/latest/sql-getting-started.html</t>
  </si>
  <si>
    <t xml:space="preserve">Shuffling is a top system-design discussion point - know how to minimize it</t>
  </si>
  <si>
    <t xml:space="preserve">Python + Error Handling + Logging for Pipelines</t>
  </si>
  <si>
    <t xml:space="preserve">try/except patterns for ETL; custom exceptions; structured logging; retry logic with exponential backoff; config management (YAML/env vars)</t>
  </si>
  <si>
    <t xml:space="preserve">Real Python - Logging Best Practices https://realpython.com/python-logging/</t>
  </si>
  <si>
    <t xml:space="preserve">Production-grade error handling is a strong differentiator in interviews</t>
  </si>
  <si>
    <t xml:space="preserve">Revision + Hands-on: Mini ETL Script</t>
  </si>
  <si>
    <t xml:space="preserve">Build a Python script: read CSV -&gt; clean with Pandas -&gt; transform -&gt; write Parquet; add logging + error handling</t>
  </si>
  <si>
    <t xml:space="preserve">Personal project - use sample Kaggle dataset https://www.kaggle.com/datasets</t>
  </si>
  <si>
    <t xml:space="preserve">Push this to GitHub - first portfolio artifact</t>
  </si>
  <si>
    <t xml:space="preserve">  MONTH 1  ·  WEEK 3  —  Azure Storage, ADLS Gen2 &amp; Data Modeling</t>
  </si>
  <si>
    <t xml:space="preserve">Azure Storage Fundamentals</t>
  </si>
  <si>
    <t xml:space="preserve">Storage account types; Blob vs File vs Queue vs Table storage; access tiers (Hot/Cool/Archive); replication (LRS/ZRS/GRS)</t>
  </si>
  <si>
    <t xml:space="preserve">Microsoft Learn - Azure Storage Overview https://learn.microsoft.com/en-us/azure/storage/common/storage-introduction</t>
  </si>
  <si>
    <t xml:space="preserve">2 hrs</t>
  </si>
  <si>
    <t xml:space="preserve">Know cost implications of each tier - common interview question</t>
  </si>
  <si>
    <t xml:space="preserve">ADLS Gen2 Deep Dive</t>
  </si>
  <si>
    <t xml:space="preserve">Hierarchical namespace vs flat; folder structure best practices (bronze/silver/gold); ACLs vs RBAC; mounting in Databricks</t>
  </si>
  <si>
    <t xml:space="preserve">WafaStudies - ADLS Gen2 Complete Tutorial https://youtube.com/@WafaStudies</t>
  </si>
  <si>
    <t xml:space="preserve">Bronze/Silver/Gold (medallion architecture) appears in almost every Azure DE interview</t>
  </si>
  <si>
    <t xml:space="preserve">Data Modeling Fundamentals</t>
  </si>
  <si>
    <t xml:space="preserve">OLTP vs OLAP; normalization (1NF-3NF) vs denormalization tradeoffs; star schema vs snowflake schema; fact &amp; dimension tables</t>
  </si>
  <si>
    <t xml:space="preserve">Coursera/YouTube - Kimball Data Warehouse Toolkit concepts https://www.kimballgroup.com/</t>
  </si>
  <si>
    <t xml:space="preserve">Be ready to design a star schema live on a whiteboard</t>
  </si>
  <si>
    <t xml:space="preserve">Data Modeling - Slowly Changing Dimensions</t>
  </si>
  <si>
    <t xml:space="preserve">SCD Type 0/1/2/3 with real examples; surrogate keys vs natural keys; handling late-arriving facts</t>
  </si>
  <si>
    <t xml:space="preserve">Microsoft Learn - Dimensional modeling https://learn.microsoft.com/en-us/power-bi/guidance/star-schema</t>
  </si>
  <si>
    <t xml:space="preserve">SCD Type 2 implementation is a very common take-home/interview ask</t>
  </si>
  <si>
    <t xml:space="preserve">Data Warehousing Concepts</t>
  </si>
  <si>
    <t xml:space="preserve">Data warehouse vs data lake vs lakehouse; ETL vs ELT; staging layers; data partitioning strategies for warehouses</t>
  </si>
  <si>
    <t xml:space="preserve">Seattle Data Guy - Data Warehouse Concepts https://youtube.com/@SeattleDataGuy</t>
  </si>
  <si>
    <t xml:space="preserve">Lakehouse concept ties directly into Databricks/Delta Lake next week</t>
  </si>
  <si>
    <t xml:space="preserve">Revision + Hands-on: Design a Star Schema</t>
  </si>
  <si>
    <t xml:space="preserve">Design a star schema for an e-commerce dataset (fact_orders, dim_customer, dim_product, dim_date); document SCD strategy</t>
  </si>
  <si>
    <t xml:space="preserve">Self-driven exercise - use draw.io or Lucidchart free tier</t>
  </si>
  <si>
    <t xml:space="preserve">Save diagram - reuse in portfolio/resume discussions</t>
  </si>
  <si>
    <t xml:space="preserve">  MONTH 1  ·  WEEK 4  —  Azure Data Factory (ADF) Deep Dive</t>
  </si>
  <si>
    <t xml:space="preserve">ADF Architecture &amp; Core Components</t>
  </si>
  <si>
    <t xml:space="preserve">Pipelines, activities, datasets, linked services; Integration Runtime (Azure/Self-hosted/SSIS); triggers (schedule/tumbling window/event)</t>
  </si>
  <si>
    <t xml:space="preserve">Microsoft Learn - ADF Introduction https://learn.microsoft.com/en-us/azure/data-factory/introduction</t>
  </si>
  <si>
    <t xml:space="preserve">Integration Runtime choice is a frequent scenario-based question</t>
  </si>
  <si>
    <t xml:space="preserve">ADF Copy Activity &amp; Data Flows</t>
  </si>
  <si>
    <t xml:space="preserve">Copy activity performance tuning (DIU, parallel copy); Mapping Data Flows vs Wrangling Data Flows; schema drift handling</t>
  </si>
  <si>
    <t xml:space="preserve">WafaStudies - ADF Data Flows Tutorial https://youtube.com/@WafaStudies</t>
  </si>
  <si>
    <t xml:space="preserve">Hands-on: build one Mapping Data Flow with a join + aggregate transform</t>
  </si>
  <si>
    <t xml:space="preserve">ADF Control Flow &amp; Parameterization</t>
  </si>
  <si>
    <t xml:space="preserve">ForEach, If, Switch, Until activities; pipeline parameters vs variables; dynamic content expressions; parameterized linked services for reusability</t>
  </si>
  <si>
    <t xml:space="preserve">Udemy - Azure Data Factory (search 'ADF Mastery' - check current sales) https://www.udemy.com/topic/azure-data-factory/</t>
  </si>
  <si>
    <t xml:space="preserve">Dynamic/parameterized pipelines = sign of senior-level ADF maturity</t>
  </si>
  <si>
    <t xml:space="preserve">ADF Monitoring, CI/CD &amp; Error Handling</t>
  </si>
  <si>
    <t xml:space="preserve">Pipeline monitoring &amp; alerts; retry policies; Try-Catch pattern using activity dependencies; ADF + Azure DevOps CI/CD (ARM templates/Git integration)</t>
  </si>
  <si>
    <t xml:space="preserve">Microsoft Learn - CI/CD in ADF https://learn.microsoft.com/en-us/azure/data-factory/continuous-integration-delivery</t>
  </si>
  <si>
    <t xml:space="preserve">CI/CD knowledge separates mid from senior candidates</t>
  </si>
  <si>
    <t xml:space="preserve">ADF Integration with Other Services</t>
  </si>
  <si>
    <t xml:space="preserve">ADF -&gt; Databricks notebook activity; ADF -&gt; Synapse pipelines; Key Vault integration for secrets; metadata-driven pipeline design pattern</t>
  </si>
  <si>
    <t xml:space="preserve">Adam Marczak - Azure for Everyone (ADF integrations) https://youtube.com/@AdamMarczakAzure</t>
  </si>
  <si>
    <t xml:space="preserve">Metadata-driven pipelines = a top system-design talking point</t>
  </si>
  <si>
    <t xml:space="preserve">Revision + Hands-on: Build End-to-End ADF Pipeline</t>
  </si>
  <si>
    <t xml:space="preserve">Build pipeline: ingest CSV from Blob -&gt; transform via Data Flow -&gt; load to ADLS Gen2 (bronze/silver); add a failure-handling branch</t>
  </si>
  <si>
    <t xml:space="preserve">Azure Free Tier account (12-month free + $200 credit) https://azure.microsoft.com/free/</t>
  </si>
  <si>
    <t xml:space="preserve">3.5 hrs</t>
  </si>
  <si>
    <t xml:space="preserve">Screenshot pipeline + document design decisions for portfolio/resume</t>
  </si>
  <si>
    <t xml:space="preserve">  MONTH 2  ·  WEEK 5  —  Azure Databricks &amp; Delta Lake</t>
  </si>
  <si>
    <t xml:space="preserve">Databricks Platform Fundamentals</t>
  </si>
  <si>
    <t xml:space="preserve">Workspace, clusters (all-purpose vs job clusters), notebooks; cluster sizing &amp; autoscaling; Databricks Runtime versions</t>
  </si>
  <si>
    <t xml:space="preserve">Microsoft Learn - Azure Databricks Overview https://learn.microsoft.com/en-us/azure/databricks/introduction/</t>
  </si>
  <si>
    <t xml:space="preserve">Understand cost implications of cluster choices - frequently asked</t>
  </si>
  <si>
    <t xml:space="preserve">Delta Lake Fundamentals</t>
  </si>
  <si>
    <t xml:space="preserve">ACID transactions on data lakes; transaction log (_delta_log); time travel; schema enforcement &amp; evolution</t>
  </si>
  <si>
    <t xml:space="preserve">Databricks Official - Delta Lake Fundamentals https://youtube.com/@Databricks</t>
  </si>
  <si>
    <t xml:space="preserve">Delta Lake is THE differentiator topic for Azure DE roles in 2026</t>
  </si>
  <si>
    <t xml:space="preserve">Delta Lake Operations</t>
  </si>
  <si>
    <t xml:space="preserve">MERGE/UPSERT patterns; OPTIMIZE &amp; Z-ORDER; VACUUM command &amp; retention; CDC (Change Data Capture) with Delta</t>
  </si>
  <si>
    <t xml:space="preserve">Delta Lake Official Docs https://docs.delta.io/latest/delta-batch.html</t>
  </si>
  <si>
    <t xml:space="preserve">MERGE for SCD Type 2 implementation - practice this exact pattern</t>
  </si>
  <si>
    <t xml:space="preserve">Databricks Medallion Architecture</t>
  </si>
  <si>
    <t xml:space="preserve">Bronze/Silver/Gold layer design in Databricks; Auto Loader for incremental ingestion; Delta Live Tables (DLT) overview</t>
  </si>
  <si>
    <t xml:space="preserve">WafaStudies - Databricks Medallion Architecture https://youtube.com/@WafaStudies</t>
  </si>
  <si>
    <t xml:space="preserve">Be ready to design a full medallion pipeline on a whiteboard</t>
  </si>
  <si>
    <t xml:space="preserve">Databricks Performance &amp; Unity Catalog</t>
  </si>
  <si>
    <t xml:space="preserve">Partition pruning; caching strategies; Photon engine basics; Unity Catalog for governance (data lineage, access control)</t>
  </si>
  <si>
    <t xml:space="preserve">Microsoft Learn - Unity Catalog https://learn.microsoft.com/en-us/azure/databricks/data-governance/unity-catalog/</t>
  </si>
  <si>
    <t xml:space="preserve">Unity Catalog is increasingly asked at senior-level interviews in 2026</t>
  </si>
  <si>
    <t xml:space="preserve">Revision + Hands-on: Build Medallion Pipeline in Databricks</t>
  </si>
  <si>
    <t xml:space="preserve">Bronze (raw ingest) -&gt; Silver (cleaned/deduped via MERGE) -&gt; Gold (aggregated business tables); use Databricks Community Edition or Azure trial</t>
  </si>
  <si>
    <t xml:space="preserve">Databricks Community Edition (free) https://community.cloud.databricks.com/</t>
  </si>
  <si>
    <t xml:space="preserve">Strong portfolio piece - document with notebook + architecture diagram</t>
  </si>
  <si>
    <t xml:space="preserve">  MONTH 2  ·  WEEK 6  —  Azure Synapse Analytics &amp; Azure SQL</t>
  </si>
  <si>
    <t xml:space="preserve">Synapse Analytics Architecture</t>
  </si>
  <si>
    <t xml:space="preserve">Synapse workspace components; Dedicated SQL Pool vs Serverless SQL Pool vs Spark Pool; when to use which</t>
  </si>
  <si>
    <t xml:space="preserve">Microsoft Learn - Synapse Analytics Overview https://learn.microsoft.com/en-us/azure/synapse-analytics/overview-what-is</t>
  </si>
  <si>
    <t xml:space="preserve">Pool selection scenario questions are very common</t>
  </si>
  <si>
    <t xml:space="preserve">Dedicated SQL Pool Deep Dive</t>
  </si>
  <si>
    <t xml:space="preserve">Distribution strategies (hash/round-robin/replicated); table design for MPP; CTAS for performance; workload management (resource classes)</t>
  </si>
  <si>
    <t xml:space="preserve">WafaStudies - Synapse Dedicated SQL Pool https://youtube.com/@WafaStudies</t>
  </si>
  <si>
    <t xml:space="preserve">Distribution strategy choice is a classic system-design interview question</t>
  </si>
  <si>
    <t xml:space="preserve">Synapse Pipelines &amp; Spark Pools</t>
  </si>
  <si>
    <t xml:space="preserve">Synapse Pipelines vs ADF (when to use which); Spark Pool notebooks; integration with Power BI for serving layer</t>
  </si>
  <si>
    <t xml:space="preserve">Microsoft Learn - Synapse Pipelines https://learn.microsoft.com/en-us/azure/synapse-analytics/pipeline/</t>
  </si>
  <si>
    <t xml:space="preserve">Many orgs use Synapse Pipelines instead of standalone ADF - know overlap</t>
  </si>
  <si>
    <t xml:space="preserve">Azure SQL Database Fundamentals</t>
  </si>
  <si>
    <t xml:space="preserve">DTU vs vCore purchasing models; elastic pools; backup/restore &amp; point-in-time recovery; indexing in Azure SQL specifically</t>
  </si>
  <si>
    <t xml:space="preserve">Microsoft Learn - Azure SQL Database Overview https://learn.microsoft.com/en-us/azure/azure-sql/database/sql-database-paas-overview</t>
  </si>
  <si>
    <t xml:space="preserve">Know the difference vs SQL Managed Instance vs SQL on VM</t>
  </si>
  <si>
    <t xml:space="preserve">Performance Tuning Across Azure SQL/Synapse</t>
  </si>
  <si>
    <t xml:space="preserve">Query Store; missing index recommendations; statistics &amp; cardinality estimation; partitioned tables and columnstore indexes</t>
  </si>
  <si>
    <t xml:space="preserve">Azure SQL Tips - Performance Tuning Series https://youtube.com/results?search_query=azure+sql+performance+tuning</t>
  </si>
  <si>
    <t xml:space="preserve">Columnstore index knowledge signals warehouse-level expertise</t>
  </si>
  <si>
    <t xml:space="preserve">Revision + Hands-on: Synapse Mini Project</t>
  </si>
  <si>
    <t xml:space="preserve">Load sample data into Dedicated SQL Pool; design distribution strategy; write 5 analytical queries with CTAS optimization</t>
  </si>
  <si>
    <t xml:space="preserve">Azure free trial Synapse workspace https://azure.microsoft.com/free/</t>
  </si>
  <si>
    <t xml:space="preserve">Document your distribution strategy reasoning - great interview talking point</t>
  </si>
  <si>
    <t xml:space="preserve">  MONTH 2  ·  WEEK 7  —  AI/ML Fundamentals for Data Engineers</t>
  </si>
  <si>
    <t xml:space="preserve">ML Fundamentals - Core Concepts</t>
  </si>
  <si>
    <t xml:space="preserve">Supervised vs unsupervised vs reinforcement learning; train/validation/test splits; overfitting/underfitting; bias-variance tradeoff</t>
  </si>
  <si>
    <t xml:space="preserve">Google - Machine Learning Crash Course (free) https://developers.google.com/machine-learning/crash-course</t>
  </si>
  <si>
    <t xml:space="preserve">You don't need to build models - you need to speak the language fluently</t>
  </si>
  <si>
    <t xml:space="preserve">ML Fundamentals - Algorithms Overview</t>
  </si>
  <si>
    <t xml:space="preserve">Linear/logistic regression intuition; decision trees &amp; random forests; basics of neural networks (no deep math needed); evaluation metrics (accuracy, precision/recall, RMSE, AUC)</t>
  </si>
  <si>
    <t xml:space="preserve">StatQuest with Josh Starmer https://youtube.com/@statquest</t>
  </si>
  <si>
    <t xml:space="preserve">StatQuest explains intuition without heavy math - ideal for DE-level understanding</t>
  </si>
  <si>
    <t xml:space="preserve">Feature Engineering &amp; Feature Stores</t>
  </si>
  <si>
    <t xml:space="preserve">Feature engineering basics (encoding, scaling, binning); what a feature store is and why it exists; Azure ML Feature Store / Databricks Feature Store concepts; online vs offline feature serving</t>
  </si>
  <si>
    <t xml:space="preserve">Microsoft Learn - Azure Machine Learning Feature Store https://learn.microsoft.com/en-us/azure/machine-learning/concept-what-is-managed-feature-store</t>
  </si>
  <si>
    <t xml:space="preserve">This is THE bridge topic between DE and AI roles - expect direct interview questions here</t>
  </si>
  <si>
    <t xml:space="preserve">ML Data Pipelines &amp; Data Quality for ML</t>
  </si>
  <si>
    <t xml:space="preserve">Data pipelines feeding ML training vs inference; data drift &amp; model drift; data validation (schema checks, anomaly detection); labeling pipelines overview</t>
  </si>
  <si>
    <t xml:space="preserve">Made With ML - MLOps fundamentals (free) https://madewithml.com/</t>
  </si>
  <si>
    <t xml:space="preserve">Data quality for ML is a growing, high-value DE specialization</t>
  </si>
  <si>
    <t xml:space="preserve">MLOps Fundamentals</t>
  </si>
  <si>
    <t xml:space="preserve">ML lifecycle (data -&gt; train -&gt; deploy -&gt; monitor); model registry concept; CI/CD for ML (CI/CD/CT); monitoring model performance in production</t>
  </si>
  <si>
    <t xml:space="preserve">Microsoft Learn - MLOps with Azure Machine Learning https://learn.microsoft.com/en-us/azure/machine-learning/concept-model-management-and-deployment</t>
  </si>
  <si>
    <t xml:space="preserve">Know how a DE supports each MLOps stage - this is the AI/DE crossover story for interviews</t>
  </si>
  <si>
    <t xml:space="preserve">Revision + Hands-on: Feature Pipeline Mini Project</t>
  </si>
  <si>
    <t xml:space="preserve">Build a small feature engineering pipeline in PySpark/Pandas (raw data -&gt; engineered features -&gt; save to a 'feature table'); document drift-monitoring approach</t>
  </si>
  <si>
    <t xml:space="preserve">Use a public dataset (e.g. Kaggle Titanic/House Prices) https://www.kaggle.com/datasets</t>
  </si>
  <si>
    <t xml:space="preserve">This single project gives you a concrete AI+DE story for interviews</t>
  </si>
  <si>
    <t xml:space="preserve">  MONTH 2  ·  WEEK 8  —  Azure AI Services, Azure ML &amp; Modern AI Data Patterns</t>
  </si>
  <si>
    <t xml:space="preserve">Azure Machine Learning Service</t>
  </si>
  <si>
    <t xml:space="preserve">Azure ML workspace; compute instances/clusters; ML pipelines in Azure ML; model registry &amp; endpoints (real-time vs batch)</t>
  </si>
  <si>
    <t xml:space="preserve">Microsoft Learn - Azure Machine Learning https://learn.microsoft.com/en-us/azure/machine-learning/overview-what-is-azure-machine-learning</t>
  </si>
  <si>
    <t xml:space="preserve">Know the platform at a conceptual level - deep hands-on ML is not your job as a DE</t>
  </si>
  <si>
    <t xml:space="preserve">Azure AI/Cognitive Services Overview</t>
  </si>
  <si>
    <t xml:space="preserve">Azure AI Search (formerly Cognitive Search); Form Recognizer/Document Intelligence; Azure OpenAI Service basics; how DEs build data pipelines feeding these services</t>
  </si>
  <si>
    <t xml:space="preserve">Microsoft Learn - Azure AI Services https://learn.microsoft.com/en-us/azure/ai-services/what-are-ai-services</t>
  </si>
  <si>
    <t xml:space="preserve">Azure OpenAI Service knowledge is increasingly expected in 2026 JDs</t>
  </si>
  <si>
    <t xml:space="preserve">Vector Databases &amp; RAG Pipelines (Conceptual)</t>
  </si>
  <si>
    <t xml:space="preserve">What embeddings are; vector search basics; Retrieval-Augmented Generation (RAG) architecture; role of DE in building RAG data pipelines (chunking, embedding generation, indexing)</t>
  </si>
  <si>
    <t xml:space="preserve">IBM Technology - RAG Explained https://youtube.com/@IBMTechnology</t>
  </si>
  <si>
    <t xml:space="preserve">RAG pipeline questions are now common even in 'traditional' DE interviews in 2026</t>
  </si>
  <si>
    <t xml:space="preserve">Streaming Data Fundamentals</t>
  </si>
  <si>
    <t xml:space="preserve">Batch vs streaming paradigms; Azure Event Hubs basics; Azure Stream Analytics overview; windowing concepts (tumbling/hopping/sliding) for streaming aggregation</t>
  </si>
  <si>
    <t xml:space="preserve">Microsoft Learn - Azure Event Hubs https://learn.microsoft.com/en-us/azure/event-hubs/event-hubs-about</t>
  </si>
  <si>
    <t xml:space="preserve">Streaming is often a 'bonus' topic but signals well-rounded DE skill</t>
  </si>
  <si>
    <t xml:space="preserve">Real-Time + AI Integration Patterns</t>
  </si>
  <si>
    <t xml:space="preserve">Lambda vs Kappa architecture; real-time feature serving for ML; Structured Streaming with Delta Lake (Spark)</t>
  </si>
  <si>
    <t xml:space="preserve">Databricks Official - Structured Streaming + Delta Live Tables https://youtube.com/@Databricks</t>
  </si>
  <si>
    <t xml:space="preserve">Combines streaming + Delta Lake + ML serving - high-signal topic for senior roles</t>
  </si>
  <si>
    <t xml:space="preserve">Revision + Hands-on: Month 2 Consolidation Project</t>
  </si>
  <si>
    <t xml:space="preserve">Design (on paper/diagram) a full pipeline: ingestion (ADF) -&gt; Databricks medallion -&gt; feature table -&gt; mock 'model serving' endpoint; write a 1-page architecture doc</t>
  </si>
  <si>
    <t xml:space="preserve">Self-driven - use draw.io / Lucidchart</t>
  </si>
  <si>
    <t xml:space="preserve">This becomes your primary 'tell me about a project' interview answer</t>
  </si>
  <si>
    <t xml:space="preserve">  MONTH 3  ·  WEEK 9  —  System Design for Data Pipelines - Part 1</t>
  </si>
  <si>
    <t xml:space="preserve">System Design Fundamentals for Data Engineers</t>
  </si>
  <si>
    <t xml:space="preserve">How to approach a system design interview (clarify requirements -&gt; high-level design -&gt; deep dive -&gt; tradeoffs); throughput/latency/consistency basics</t>
  </si>
  <si>
    <t xml:space="preserve">Exponent - Data Engineering System Design https://youtube.com/@tryexponent</t>
  </si>
  <si>
    <t xml:space="preserve">Practice the structured approach - interviewers grade process, not just final answer</t>
  </si>
  <si>
    <t xml:space="preserve">Designing Batch ETL Systems</t>
  </si>
  <si>
    <t xml:space="preserve">Designing a pipeline for a large-scale batch ETL (e.g. 'design a system to process daily retail transactions'); idempotency; checkpointing; backfill strategy</t>
  </si>
  <si>
    <t xml:space="preserve">Seattle Data Guy - System Design for Data Engineers (blog/YouTube) https://www.theseattledataguy.com/</t>
  </si>
  <si>
    <t xml:space="preserve">Idempotency is a must-mention keyword in almost every design answer</t>
  </si>
  <si>
    <t xml:space="preserve">Designing Streaming Systems</t>
  </si>
  <si>
    <t xml:space="preserve">Design a real-time analytics pipeline (e.g. 'design a system to track live user clickstream'); exactly-once vs at-least-once processing; handling late/out-of-order data</t>
  </si>
  <si>
    <t xml:space="preserve">ByteByteGo - System Design Streaming https://youtube.com/@ByteByteGo</t>
  </si>
  <si>
    <t xml:space="preserve">ByteByteGo's visual explanations are excellent for retention</t>
  </si>
  <si>
    <t xml:space="preserve">Designing for Scale - Partitioning &amp; Sharding</t>
  </si>
  <si>
    <t xml:space="preserve">Data partitioning strategies at scale; sharding key selection; handling data skew; hot partition problems and mitigation</t>
  </si>
  <si>
    <t xml:space="preserve">Microsoft Learn - Data partitioning guidance https://learn.microsoft.com/en-us/azure/architecture/best-practices/data-partitioning</t>
  </si>
  <si>
    <t xml:space="preserve">Data skew mitigation is a favorite deep-dive follow-up question</t>
  </si>
  <si>
    <t xml:space="preserve">Designing for Reliability</t>
  </si>
  <si>
    <t xml:space="preserve">Fault tolerance patterns; dead-letter queues; data quality gates (schema validation, anomaly checks); disaster recovery &amp; RTO/RPO concepts</t>
  </si>
  <si>
    <t xml:space="preserve">Microsoft Learn - Reliability patterns https://learn.microsoft.com/en-us/azure/architecture/framework/resiliency/</t>
  </si>
  <si>
    <t xml:space="preserve">RTO/RPO terms signal enterprise-grade thinking - use them precisely</t>
  </si>
  <si>
    <t xml:space="preserve">Revision + Hands-on: Mock System Design Write-up</t>
  </si>
  <si>
    <t xml:space="preserve">Pick 1 prompt ('design a pipeline for ride-hailing trip data') and write a full design doc: requirements, architecture diagram, tradeoffs, scaling plan</t>
  </si>
  <si>
    <t xml:space="preserve">Self-driven - use ByteByteGo prompt library as reference</t>
  </si>
  <si>
    <t xml:space="preserve">Time yourself to 45 min - matches real interview constraints</t>
  </si>
  <si>
    <t xml:space="preserve">  MONTH 3  ·  WEEK 10  —  System Design Part 2 + Big 4 / Enterprise Patterns</t>
  </si>
  <si>
    <t xml:space="preserve">Designing a Modern Data Platform (End-to-End)</t>
  </si>
  <si>
    <t xml:space="preserve">Full platform design: ingestion -&gt; lake -&gt; warehouse -&gt; serving -&gt; BI/ML consumption; governance &amp; security layer; cost-optimization considerations</t>
  </si>
  <si>
    <t xml:space="preserve">Andreas Kretz (Learn Data Engineering) - Platform Design https://youtube.com/@andreaskayy</t>
  </si>
  <si>
    <t xml:space="preserve">Andreas Kretz's content is highly respected for real-world DE platform design</t>
  </si>
  <si>
    <t xml:space="preserve">Data Governance &amp; Security at Scale</t>
  </si>
  <si>
    <t xml:space="preserve">Data masking &amp; encryption (at-rest/in-transit); Azure Purview/Microsoft Purview for catalog &amp; lineage; GDPR/compliance basics relevant to DE; column-level/row-level security</t>
  </si>
  <si>
    <t xml:space="preserve">Microsoft Learn - Microsoft Purview https://learn.microsoft.com/en-us/purview/purview</t>
  </si>
  <si>
    <t xml:space="preserve">Big 4 firms (Deloitte/EY/PwC/KPMG) heavily emphasize governance &amp; compliance</t>
  </si>
  <si>
    <t xml:space="preserve">Cost Optimization in Azure Data Platforms</t>
  </si>
  <si>
    <t xml:space="preserve">Reserved instances vs pay-as-you-go; auto-pause for Synapse/Databricks clusters; storage tiering for cost; monitoring cost via Azure Cost Management</t>
  </si>
  <si>
    <t xml:space="preserve">Microsoft Learn - Azure Cost Management https://learn.microsoft.com/en-us/azure/cost-management-billing/costs/overview-cost-management</t>
  </si>
  <si>
    <t xml:space="preserve">Big 4 clients care deeply about cloud cost - mention this proactively</t>
  </si>
  <si>
    <t xml:space="preserve">Consulting-Style Case Interview Prep (Big 4 specific)</t>
  </si>
  <si>
    <t xml:space="preserve">How Big 4 frames DE problems as client case studies; structuring an answer using business-impact framing; communicating technical tradeoffs to non-technical stakeholders</t>
  </si>
  <si>
    <t xml:space="preserve">Search current 'Big 4 technology case interview' prep videos on YouTube</t>
  </si>
  <si>
    <t xml:space="preserve">Big 4 interviews often blend technical + consulting communication style - practice both</t>
  </si>
  <si>
    <t xml:space="preserve">Behavioral + Project Storytelling Prep</t>
  </si>
  <si>
    <t xml:space="preserve">STAR method for behavioral questions; crafting a 2-minute 'tell me about a challenging pipeline' story; quantifying impact (data volume, cost saved, time saved)</t>
  </si>
  <si>
    <t xml:space="preserve">Use your own past projects + Week 5/8 hands-on projects as source material</t>
  </si>
  <si>
    <t xml:space="preserve">Prepare 4-5 STAR stories covering: conflict, failure, leadership, technical depth, ambiguity</t>
  </si>
  <si>
    <t xml:space="preserve">Revision + Hands-on: Full Mock Interview (Self-recorded)</t>
  </si>
  <si>
    <t xml:space="preserve">Record yourself answering 3 system design + 2 behavioral questions; review recording for clarity, structure, filler words</t>
  </si>
  <si>
    <t xml:space="preserve">Self-driven; optionally use Pramp/Interviewing.io free mock slots https://www.pramp.com/</t>
  </si>
  <si>
    <t xml:space="preserve">Reviewing your own recording is uncomfortable but extremely high-ROI</t>
  </si>
  <si>
    <t xml:space="preserve">  MONTH 3  ·  WEEK 11  —  Mock Interviews &amp; Weak-Area Sprint</t>
  </si>
  <si>
    <t xml:space="preserve">SQL + PySpark Rapid Review</t>
  </si>
  <si>
    <t xml:space="preserve">Timed practice: 5 SQL problems (window fns/CTEs) + 3 PySpark transformation problems under 45 min total</t>
  </si>
  <si>
    <t xml:space="preserve">StrataScratch + Databricks Community Edition https://www.stratascratch.com/</t>
  </si>
  <si>
    <t xml:space="preserve">Simulate real timed-assessment conditions (common at AWS/Google OA stage)</t>
  </si>
  <si>
    <t xml:space="preserve">ADF + Databricks Scenario Drills</t>
  </si>
  <si>
    <t xml:space="preserve">Answer 8-10 scenario questions out loud: 'how would you handle schema drift', 'how would you design incremental load', 'how would you debug a failed pipeline'</t>
  </si>
  <si>
    <t xml:space="preserve">Compile questions from Weeks 4 &amp; 5 notes + search 'Azure Data Engineer interview questions 2026'</t>
  </si>
  <si>
    <t xml:space="preserve">Speaking answers out loud (not just reading) builds real interview fluency</t>
  </si>
  <si>
    <t xml:space="preserve">Synapse + Data Modeling Scenario Drills</t>
  </si>
  <si>
    <t xml:space="preserve">Practice explaining: distribution strategy choice, SCD Type 2 implementation, star schema design for a new business case (live whiteboard style)</t>
  </si>
  <si>
    <t xml:space="preserve">Use Week 3 &amp; 6 notes; practice on physical whiteboard or draw.io</t>
  </si>
  <si>
    <t xml:space="preserve">Whiteboarding speed matters - practice drawing schemas quickly</t>
  </si>
  <si>
    <t xml:space="preserve">AI/ML + MLOps Scenario Drills</t>
  </si>
  <si>
    <t xml:space="preserve">Practice explaining: feature store role, data drift detection approach, how you'd support an ML team's data needs, RAG pipeline data flow</t>
  </si>
  <si>
    <t xml:space="preserve">Use Week 7 &amp; 8 notes</t>
  </si>
  <si>
    <t xml:space="preserve">This is your differentiation area vs typical DE candidates - polish it</t>
  </si>
  <si>
    <t xml:space="preserve">Live Mock Interview #1 (Technical)</t>
  </si>
  <si>
    <t xml:space="preserve">Full 45-60 min mock: 1 SQL/coding round + 1 system design round; get feedback from a peer/mentor or use AI-assisted mock (e.g. ChatGPT/Claude as interviewer)</t>
  </si>
  <si>
    <t xml:space="preserve">Pramp (free peer mock interviews) https://www.pramp.com/ or interviewing.io</t>
  </si>
  <si>
    <t xml:space="preserve">Book this in advance - don't let it slip to 'someday'</t>
  </si>
  <si>
    <t xml:space="preserve">Gap Analysis + Targeted Revision</t>
  </si>
  <si>
    <t xml:space="preserve">Review mock interview feedback; identify top 3 weak areas; spend the day deep-diving ONLY those topics with fresh practice problems</t>
  </si>
  <si>
    <t xml:space="preserve">Self-driven based on personal gap list</t>
  </si>
  <si>
    <t xml:space="preserve">Be honest in gap analysis - this is the highest-leverage day of the week</t>
  </si>
  <si>
    <t xml:space="preserve">  MONTH 3  ·  WEEK 12  —  Resume Polish, Targeted Applications &amp; Mock Round 2</t>
  </si>
  <si>
    <t xml:space="preserve">Resume Optimization for Azure DE + AI Roles</t>
  </si>
  <si>
    <t xml:space="preserve">Quantify achievements (data volume, latency improvement, cost reduction); keyword-align to JD (ATS optimization); craft 1-2 project bullets highlighting AI/ML crossover</t>
  </si>
  <si>
    <t xml:space="preserve">Use Job Tracker (Task 1) + target JDs for keyword matching</t>
  </si>
  <si>
    <t xml:space="preserve">Tailor 2-3 resume versions for different role flavors (pure DE vs DE+AI heavy)</t>
  </si>
  <si>
    <t xml:space="preserve">LinkedIn + Portfolio Polish</t>
  </si>
  <si>
    <t xml:space="preserve">Update LinkedIn headline/about for Azure DE + AI positioning; publish 1 portfolio write-up (e.g. medallion architecture project from Week 5)</t>
  </si>
  <si>
    <t xml:space="preserve">LinkedIn + GitHub README best practices (search current guides)</t>
  </si>
  <si>
    <t xml:space="preserve">A polished GitHub README for your Week 5/8 project adds real credibility</t>
  </si>
  <si>
    <t xml:space="preserve">Targeted Applications Sprint</t>
  </si>
  <si>
    <t xml:space="preserve">Apply to 8-10 roles using the Job Tracker (Task 1); prioritize referrals where possible; customize cover note per company tier</t>
  </si>
  <si>
    <t xml:space="preserve">Use Task 3 target company list</t>
  </si>
  <si>
    <t xml:space="preserve">Quality + referral &gt; quantity of blind applications</t>
  </si>
  <si>
    <t xml:space="preserve">Advanced System Design Drill</t>
  </si>
  <si>
    <t xml:space="preserve">Tackle 1 hard system design prompt end-to-end ('design a near-real-time fraud detection data pipeline') combining streaming + ML serving + governance</t>
  </si>
  <si>
    <t xml:space="preserve">ByteByteGo / Exponent advanced prompts https://youtube.com/@ByteByteGo</t>
  </si>
  <si>
    <t xml:space="preserve">This combines almost every topic from the 3 months - good integration test</t>
  </si>
  <si>
    <t xml:space="preserve">Live Mock Interview #2 (Behavioral + System Design)</t>
  </si>
  <si>
    <t xml:space="preserve">Full mock focused on behavioral STAR stories + 1 system design question; request specific feedback on communication clarity</t>
  </si>
  <si>
    <t xml:space="preserve">Pramp / interviewing.io / mentor network</t>
  </si>
  <si>
    <t xml:space="preserve">Compare progress against Mock #1 - track improvement explicitly</t>
  </si>
  <si>
    <t xml:space="preserve">Revision + Hands-on: Final Project Polish</t>
  </si>
  <si>
    <t xml:space="preserve">Finalize and document your best end-to-end project (ADF + Databricks + Synapse + feature table); ensure GitHub repo + README are interview-ready</t>
  </si>
  <si>
    <t xml:space="preserve">Consolidate Week 4/5/8 hands-on work</t>
  </si>
  <si>
    <t xml:space="preserve">This project should be ready to screen-share in any interview within 2 minutes</t>
  </si>
  <si>
    <t xml:space="preserve">  MONTH 3  ·  WEEK 13  —  Final Interview Sprint &amp; Buffer Week</t>
  </si>
  <si>
    <t xml:space="preserve">Full-Spectrum Rapid Review - Week 1</t>
  </si>
  <si>
    <t xml:space="preserve">Flash-review SQL window functions, CTEs, query optimization, Python/PySpark fundamentals using your own notes only (no new material)</t>
  </si>
  <si>
    <t xml:space="preserve">Personal notes from Weeks 1-2</t>
  </si>
  <si>
    <t xml:space="preserve">Active recall: explain each topic out loud without looking at notes first</t>
  </si>
  <si>
    <t xml:space="preserve">Full-Spectrum Rapid Review - Azure Core Services</t>
  </si>
  <si>
    <t xml:space="preserve">Flash-review ADLS Gen2, ADF, Databricks/Delta Lake, Synapse - architecture diagrams from memory</t>
  </si>
  <si>
    <t xml:space="preserve">Personal notes from Weeks 3-6</t>
  </si>
  <si>
    <t xml:space="preserve">Redraw each architecture diagram from memory, then check against notes</t>
  </si>
  <si>
    <t xml:space="preserve">Full-Spectrum Rapid Review - AI/ML + MLOps</t>
  </si>
  <si>
    <t xml:space="preserve">Flash-review feature stores, MLOps lifecycle, RAG pipelines, streaming + ML serving patterns</t>
  </si>
  <si>
    <t xml:space="preserve">Personal notes from Weeks 7-8</t>
  </si>
  <si>
    <t xml:space="preserve">Practice your 'AI/DE crossover' pitch one more time - this is your edge</t>
  </si>
  <si>
    <t xml:space="preserve">Full-Spectrum Rapid Review - System Design + Governance</t>
  </si>
  <si>
    <t xml:space="preserve">Flash-review batch/streaming design patterns, partitioning/sharding, governance &amp; cost optimization, Big 4 case-style framing</t>
  </si>
  <si>
    <t xml:space="preserve">Personal notes from Weeks 9-10</t>
  </si>
  <si>
    <t xml:space="preserve">Re-run your timed 45-min design doc exercise from Week 9 Saturday</t>
  </si>
  <si>
    <t xml:space="preserve">Live Mock Interview #3 (Full Loop Simulation)</t>
  </si>
  <si>
    <t xml:space="preserve">Simulate a full interview loop if possible: 1 technical SQL/coding + 1 system design + 1 behavioral, back-to-back</t>
  </si>
  <si>
    <t xml:space="preserve">Pramp / interviewing.io / mentor / senior colleague</t>
  </si>
  <si>
    <t xml:space="preserve">This is your dress rehearsal - treat it as the real thing</t>
  </si>
  <si>
    <t xml:space="preserve">Buffer Day - Catch-up / Rest / Light Review</t>
  </si>
  <si>
    <t xml:space="preserve">Use this day to revisit any topic that still feels shaky, catch up on missed days, or rest fully if on track - both are valid uses of this day</t>
  </si>
  <si>
    <t xml:space="preserve">Personal discretion</t>
  </si>
  <si>
    <t xml:space="preserve">Flexible</t>
  </si>
  <si>
    <t xml:space="preserve">You have intentionally built slack into the plan - use it without guilt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</si>
</sst>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d&quot;, &quot;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2A2E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F80ED"/>
      <name val="Arial"/>
      <family val="0"/>
      <charset val="1"/>
    </font>
    <font>
      <b val="true"/>
      <sz val="13"/>
      <color rgb="FF2D2A2E"/>
      <name val="Arial"/>
      <family val="0"/>
      <charset val="1"/>
    </font>
    <font>
      <sz val="10"/>
      <name val="Arial"/>
      <family val="0"/>
      <charset val="1"/>
    </font>
    <font>
      <b val="true"/>
      <sz val="17"/>
      <color rgb="FF2D2A2E"/>
      <name val="Arial"/>
      <family val="0"/>
      <charset val="1"/>
    </font>
    <font>
      <i val="true"/>
      <sz val="10.5"/>
      <color rgb="FF6B6B6B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1.5"/>
      <color rgb="FF1B4FBB"/>
      <name val="Arial"/>
      <family val="0"/>
      <charset val="1"/>
    </font>
    <font>
      <sz val="10"/>
      <color rgb="FF2D2A2E"/>
      <name val="Arial"/>
      <family val="0"/>
      <charset val="1"/>
    </font>
    <font>
      <sz val="10"/>
      <color rgb="FF2F80ED"/>
      <name val="Arial"/>
      <family val="0"/>
      <charset val="1"/>
    </font>
    <font>
      <b val="true"/>
      <sz val="11.5"/>
      <color rgb="FF9A6B00"/>
      <name val="Arial"/>
      <family val="0"/>
      <charset val="1"/>
    </font>
    <font>
      <b val="true"/>
      <sz val="11.5"/>
      <color rgb="FF2E7D3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7352F"/>
        <bgColor rgb="FF2D2A2E"/>
      </patternFill>
    </fill>
    <fill>
      <patternFill patternType="solid">
        <fgColor rgb="FFF7F6F3"/>
        <bgColor rgb="FFF1F0EE"/>
      </patternFill>
    </fill>
    <fill>
      <patternFill patternType="solid">
        <fgColor rgb="FFEAF2FF"/>
        <bgColor rgb="FFEAF7EE"/>
      </patternFill>
    </fill>
    <fill>
      <patternFill patternType="solid">
        <fgColor rgb="FFFFF7E0"/>
        <bgColor rgb="FFF7F6F3"/>
      </patternFill>
    </fill>
    <fill>
      <patternFill patternType="solid">
        <fgColor rgb="FFEAF7EE"/>
        <bgColor rgb="FFF1F0EE"/>
      </patternFill>
    </fill>
    <fill>
      <patternFill patternType="solid">
        <fgColor rgb="FFFFFFFF"/>
        <bgColor rgb="FFF7F6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9E5DE"/>
      </left>
      <right style="thin">
        <color rgb="FFE9E5DE"/>
      </right>
      <top style="thin">
        <color rgb="FFE9E5DE"/>
      </top>
      <bottom style="thin">
        <color rgb="FFE9E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37352F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F7F6F3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4FBB"/>
          <bgColor rgb="FF000000"/>
        </patternFill>
      </fill>
    </dxf>
    <dxf>
      <fill>
        <patternFill patternType="solid">
          <fgColor rgb="FF2D2A2E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9A6B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F"/>
          <bgColor rgb="FF000000"/>
        </patternFill>
      </fill>
    </dxf>
    <dxf>
      <fill>
        <patternFill patternType="solid">
          <fgColor rgb="FFE3E8EF"/>
          <bgColor rgb="FF000000"/>
        </patternFill>
      </fill>
    </dxf>
    <dxf>
      <fill>
        <patternFill patternType="solid">
          <fgColor rgb="FFFBD9D3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2F80ED"/>
          <bgColor rgb="FF000000"/>
        </patternFill>
      </fill>
    </dxf>
    <dxf>
      <fill>
        <patternFill patternType="solid">
          <fgColor rgb="FFF1F0EE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ont>
        <name val="Arial"/>
        <charset val="1"/>
        <family val="0"/>
        <b val="1"/>
        <color rgb="FF6B6B6B"/>
        <sz val="10"/>
      </font>
      <fill>
        <patternFill>
          <bgColor rgb="FFF1F0EE"/>
        </patternFill>
      </fill>
    </dxf>
    <dxf>
      <font>
        <name val="Arial"/>
        <charset val="1"/>
        <family val="0"/>
        <b val="1"/>
        <color rgb="FF9A6B00"/>
        <sz val="10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2E7D32"/>
        <sz val="10"/>
      </font>
      <fill>
        <patternFill>
          <bgColor rgb="FFD9F2D0"/>
        </patternFill>
      </fill>
    </dxf>
    <dxf>
      <font>
        <name val="Arial"/>
        <charset val="1"/>
        <family val="0"/>
        <b val="1"/>
        <color rgb="FFC0392B"/>
        <sz val="10"/>
      </font>
      <fill>
        <patternFill>
          <bgColor rgb="FFFBD9D3"/>
        </patternFill>
      </fill>
    </dxf>
    <dxf>
      <font>
        <name val="Arial"/>
        <charset val="1"/>
        <family val="0"/>
        <b val="1"/>
        <color rgb="FF475467"/>
        <sz val="10"/>
      </font>
      <fill>
        <patternFill>
          <bgColor rgb="FFE3E8EF"/>
        </patternFill>
      </fill>
    </dxf>
    <dxf>
      <font>
        <name val="Arial"/>
        <charset val="1"/>
        <family val="0"/>
        <b val="1"/>
        <color rgb="FF1B4FBB"/>
        <sz val="10"/>
      </font>
      <fill>
        <patternFill>
          <bgColor rgb="FFD6E4FF"/>
        </patternFill>
      </fill>
    </dxf>
    <dxf>
      <font>
        <name val="Arial"/>
        <charset val="1"/>
        <family val="0"/>
        <b val="1"/>
        <color rgb="FF6A2C9C"/>
        <sz val="10"/>
      </font>
      <fill>
        <patternFill>
          <bgColor rgb="FFE8D9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6F3"/>
      <rgbColor rgb="FFFF00FF"/>
      <rgbColor rgb="FF00FFFF"/>
      <rgbColor rgb="FF800000"/>
      <rgbColor rgb="FF008000"/>
      <rgbColor rgb="FF000080"/>
      <rgbColor rgb="FF9A6B00"/>
      <rgbColor rgb="FF800080"/>
      <rgbColor rgb="FF008080"/>
      <rgbColor rgb="FFD6E4FF"/>
      <rgbColor rgb="FF808080"/>
      <rgbColor rgb="FF9999FF"/>
      <rgbColor rgb="FF993366"/>
      <rgbColor rgb="FFFFF7E0"/>
      <rgbColor rgb="FFEAF7EE"/>
      <rgbColor rgb="FF660066"/>
      <rgbColor rgb="FFFF8080"/>
      <rgbColor rgb="FF1B4FBB"/>
      <rgbColor rgb="FFE8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D9F2D0"/>
      <rgbColor rgb="FFFFF3C4"/>
      <rgbColor rgb="FFE3E8EF"/>
      <rgbColor rgb="FFE9E5DE"/>
      <rgbColor rgb="FFF1F0EE"/>
      <rgbColor rgb="FFFBD9D3"/>
      <rgbColor rgb="FF2F80ED"/>
      <rgbColor rgb="FF33CCCC"/>
      <rgbColor rgb="FF99CC00"/>
      <rgbColor rgb="FFFFCC00"/>
      <rgbColor rgb="FFFF9900"/>
      <rgbColor rgb="FFFF6600"/>
      <rgbColor rgb="FF6B6B6B"/>
      <rgbColor rgb="FF969696"/>
      <rgbColor rgb="FF475467"/>
      <rgbColor rgb="FF2E7D32"/>
      <rgbColor rgb="FF003300"/>
      <rgbColor rgb="FF2D2A2E"/>
      <rgbColor rgb="FFC0392B"/>
      <rgbColor rgb="FF993366"/>
      <rgbColor rgb="FF6A2C9C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4" hidden="false" customHeight="true" outlineLevel="0" collapsed="false">
      <c r="A4" s="4" t="s">
        <v>2</v>
      </c>
      <c r="B4" s="4" t="s">
        <v>3</v>
      </c>
    </row>
    <row r="5" customFormat="false" ht="21.75" hidden="false" customHeight="true" outlineLevel="0" collapsed="false">
      <c r="A5" s="5" t="s">
        <v>4</v>
      </c>
      <c r="B5" s="6" t="n">
        <f aca="false">COUNT('3-Month Roadmap'!D5:D94)</f>
        <v>78</v>
      </c>
    </row>
    <row r="6" customFormat="false" ht="21.75" hidden="false" customHeight="true" outlineLevel="0" collapsed="false">
      <c r="A6" s="5" t="s">
        <v>5</v>
      </c>
      <c r="B6" s="6" t="n">
        <f aca="false">COUNTIF('3-Month Roadmap'!J5:J94,"Done")</f>
        <v>0</v>
      </c>
    </row>
    <row r="7" customFormat="false" ht="21.75" hidden="false" customHeight="true" outlineLevel="0" collapsed="false">
      <c r="A7" s="5" t="s">
        <v>6</v>
      </c>
      <c r="B7" s="6" t="n">
        <f aca="false">COUNTIF('3-Month Roadmap'!J5:J94,"In Progress")</f>
        <v>0</v>
      </c>
    </row>
    <row r="8" customFormat="false" ht="21.75" hidden="false" customHeight="true" outlineLevel="0" collapsed="false">
      <c r="A8" s="5" t="s">
        <v>7</v>
      </c>
      <c r="B8" s="6" t="n">
        <f aca="false">COUNTIF('3-Month Roadmap'!J5:J94,"Not Started")</f>
        <v>78</v>
      </c>
    </row>
    <row r="9" customFormat="false" ht="21.75" hidden="false" customHeight="true" outlineLevel="0" collapsed="false">
      <c r="A9" s="5" t="s">
        <v>8</v>
      </c>
      <c r="B9" s="6" t="str">
        <f aca="false">ROUND(B6/B5*100,1)&amp;"%"</f>
        <v>0%</v>
      </c>
    </row>
    <row r="10" customFormat="false" ht="21.75" hidden="false" customHeight="true" outlineLevel="0" collapsed="false">
      <c r="A10" s="5" t="s">
        <v>9</v>
      </c>
      <c r="B10" s="6" t="n">
        <f aca="false">COUNTIFS('3-Month Roadmap'!K5:K94,"High",'3-Month Roadmap'!J5:J94,"&lt;&gt;Done")</f>
        <v>60</v>
      </c>
    </row>
    <row r="11" customFormat="false" ht="21.75" hidden="false" customHeight="true" outlineLevel="0" collapsed="false">
      <c r="A11" s="5" t="s">
        <v>10</v>
      </c>
      <c r="B11" s="6" t="n">
        <f aca="false">COUNTIFS('3-Month Roadmap'!A5:A94,1,'3-Month Roadmap'!J5:J94,"Done")</f>
        <v>0</v>
      </c>
    </row>
    <row r="12" customFormat="false" ht="21.75" hidden="false" customHeight="true" outlineLevel="0" collapsed="false">
      <c r="A12" s="5" t="s">
        <v>11</v>
      </c>
      <c r="B12" s="6" t="n">
        <f aca="false">COUNTIFS('3-Month Roadmap'!A5:A94,2,'3-Month Roadmap'!J5:J94,"Done")</f>
        <v>0</v>
      </c>
    </row>
    <row r="13" customFormat="false" ht="21.75" hidden="false" customHeight="true" outlineLevel="0" collapsed="false">
      <c r="A13" s="5" t="s">
        <v>12</v>
      </c>
      <c r="B13" s="6" t="n">
        <f aca="false">COUNTIFS('3-Month Roadmap'!A5:A94,3,'3-Month Roadmap'!J5:J94,"Done")</f>
        <v>0</v>
      </c>
    </row>
    <row r="16" customFormat="false" ht="15.75" hidden="false" customHeight="true" outlineLevel="0" collapsed="false">
      <c r="A16" s="7" t="s">
        <v>13</v>
      </c>
      <c r="B16" s="7"/>
      <c r="C16" s="7"/>
      <c r="D16" s="7"/>
      <c r="E16" s="7"/>
    </row>
    <row r="17" customFormat="false" ht="21.75" hidden="false" customHeight="true" outlineLevel="0" collapsed="false">
      <c r="A17" s="8" t="s">
        <v>14</v>
      </c>
      <c r="B17" s="8" t="s">
        <v>15</v>
      </c>
      <c r="C17" s="8" t="s">
        <v>16</v>
      </c>
      <c r="D17" s="8" t="s">
        <v>17</v>
      </c>
      <c r="E17" s="8" t="s">
        <v>18</v>
      </c>
    </row>
    <row r="18" customFormat="false" ht="30" hidden="false" customHeight="true" outlineLevel="0" collapsed="false">
      <c r="A18" s="9" t="n">
        <v>1</v>
      </c>
      <c r="B18" s="9" t="n">
        <v>1</v>
      </c>
      <c r="C18" s="9" t="s">
        <v>19</v>
      </c>
      <c r="D18" s="9" t="s">
        <v>20</v>
      </c>
      <c r="E18" s="9" t="s">
        <v>21</v>
      </c>
    </row>
    <row r="19" customFormat="false" ht="30" hidden="false" customHeight="true" outlineLevel="0" collapsed="false">
      <c r="A19" s="9" t="n">
        <v>1</v>
      </c>
      <c r="B19" s="9" t="n">
        <v>2</v>
      </c>
      <c r="C19" s="9" t="s">
        <v>22</v>
      </c>
      <c r="D19" s="9" t="s">
        <v>20</v>
      </c>
      <c r="E19" s="9" t="s">
        <v>21</v>
      </c>
    </row>
    <row r="20" customFormat="false" ht="30" hidden="false" customHeight="true" outlineLevel="0" collapsed="false">
      <c r="A20" s="9" t="n">
        <v>1</v>
      </c>
      <c r="B20" s="9" t="n">
        <v>3</v>
      </c>
      <c r="C20" s="9" t="s">
        <v>23</v>
      </c>
      <c r="D20" s="9" t="s">
        <v>20</v>
      </c>
      <c r="E20" s="9" t="s">
        <v>21</v>
      </c>
    </row>
    <row r="21" customFormat="false" ht="30" hidden="false" customHeight="true" outlineLevel="0" collapsed="false">
      <c r="A21" s="9" t="n">
        <v>1</v>
      </c>
      <c r="B21" s="9" t="n">
        <v>4</v>
      </c>
      <c r="C21" s="9" t="s">
        <v>24</v>
      </c>
      <c r="D21" s="9" t="s">
        <v>20</v>
      </c>
      <c r="E21" s="9" t="s">
        <v>21</v>
      </c>
    </row>
    <row r="22" customFormat="false" ht="30" hidden="false" customHeight="true" outlineLevel="0" collapsed="false">
      <c r="A22" s="10" t="n">
        <v>2</v>
      </c>
      <c r="B22" s="10" t="n">
        <v>5</v>
      </c>
      <c r="C22" s="10" t="s">
        <v>25</v>
      </c>
      <c r="D22" s="10" t="s">
        <v>20</v>
      </c>
      <c r="E22" s="10" t="s">
        <v>26</v>
      </c>
    </row>
    <row r="23" customFormat="false" ht="30" hidden="false" customHeight="true" outlineLevel="0" collapsed="false">
      <c r="A23" s="10" t="n">
        <v>2</v>
      </c>
      <c r="B23" s="10" t="n">
        <v>6</v>
      </c>
      <c r="C23" s="10" t="s">
        <v>27</v>
      </c>
      <c r="D23" s="10" t="s">
        <v>20</v>
      </c>
      <c r="E23" s="10" t="s">
        <v>26</v>
      </c>
    </row>
    <row r="24" customFormat="false" ht="30" hidden="false" customHeight="true" outlineLevel="0" collapsed="false">
      <c r="A24" s="10" t="n">
        <v>2</v>
      </c>
      <c r="B24" s="10" t="n">
        <v>7</v>
      </c>
      <c r="C24" s="10" t="s">
        <v>28</v>
      </c>
      <c r="D24" s="10" t="s">
        <v>20</v>
      </c>
      <c r="E24" s="10" t="s">
        <v>26</v>
      </c>
    </row>
    <row r="25" customFormat="false" ht="30" hidden="false" customHeight="true" outlineLevel="0" collapsed="false">
      <c r="A25" s="10" t="n">
        <v>2</v>
      </c>
      <c r="B25" s="10" t="n">
        <v>8</v>
      </c>
      <c r="C25" s="10" t="s">
        <v>29</v>
      </c>
      <c r="D25" s="10" t="s">
        <v>20</v>
      </c>
      <c r="E25" s="10" t="s">
        <v>26</v>
      </c>
    </row>
    <row r="26" customFormat="false" ht="30" hidden="false" customHeight="true" outlineLevel="0" collapsed="false">
      <c r="A26" s="11" t="n">
        <v>3</v>
      </c>
      <c r="B26" s="11" t="n">
        <v>9</v>
      </c>
      <c r="C26" s="11" t="s">
        <v>30</v>
      </c>
      <c r="D26" s="11" t="s">
        <v>20</v>
      </c>
      <c r="E26" s="11" t="s">
        <v>31</v>
      </c>
    </row>
    <row r="27" customFormat="false" ht="30" hidden="false" customHeight="true" outlineLevel="0" collapsed="false">
      <c r="A27" s="11" t="n">
        <v>3</v>
      </c>
      <c r="B27" s="11" t="n">
        <v>10</v>
      </c>
      <c r="C27" s="11" t="s">
        <v>32</v>
      </c>
      <c r="D27" s="11" t="s">
        <v>20</v>
      </c>
      <c r="E27" s="11" t="s">
        <v>31</v>
      </c>
    </row>
    <row r="28" customFormat="false" ht="30" hidden="false" customHeight="true" outlineLevel="0" collapsed="false">
      <c r="A28" s="11" t="n">
        <v>3</v>
      </c>
      <c r="B28" s="11" t="n">
        <v>11</v>
      </c>
      <c r="C28" s="11" t="s">
        <v>33</v>
      </c>
      <c r="D28" s="11" t="s">
        <v>20</v>
      </c>
      <c r="E28" s="11" t="s">
        <v>31</v>
      </c>
    </row>
    <row r="29" customFormat="false" ht="30" hidden="false" customHeight="true" outlineLevel="0" collapsed="false">
      <c r="A29" s="11" t="n">
        <v>3</v>
      </c>
      <c r="B29" s="11" t="n">
        <v>12</v>
      </c>
      <c r="C29" s="11" t="s">
        <v>34</v>
      </c>
      <c r="D29" s="11" t="s">
        <v>20</v>
      </c>
      <c r="E29" s="11" t="s">
        <v>31</v>
      </c>
    </row>
    <row r="30" customFormat="false" ht="30" hidden="false" customHeight="true" outlineLevel="0" collapsed="false">
      <c r="A30" s="11" t="n">
        <v>3</v>
      </c>
      <c r="B30" s="11" t="n">
        <v>13</v>
      </c>
      <c r="C30" s="11" t="s">
        <v>35</v>
      </c>
      <c r="D30" s="11" t="s">
        <v>20</v>
      </c>
      <c r="E30" s="11" t="s">
        <v>31</v>
      </c>
    </row>
  </sheetData>
  <mergeCells count="3">
    <mergeCell ref="A1:E1"/>
    <mergeCell ref="A2:E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6"/>
    <col collapsed="false" customWidth="true" hidden="false" outlineLevel="0" max="4" min="4" style="1" width="13"/>
    <col collapsed="false" customWidth="true" hidden="false" outlineLevel="0" max="5" min="5" style="1" width="30"/>
    <col collapsed="false" customWidth="true" hidden="false" outlineLevel="0" max="6" min="6" style="1" width="60"/>
    <col collapsed="false" customWidth="true" hidden="false" outlineLevel="0" max="7" min="7" style="1" width="12"/>
    <col collapsed="false" customWidth="true" hidden="false" outlineLevel="0" max="8" min="8" style="1" width="45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40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9.5" hidden="false" customHeight="true" outlineLevel="0" collapsed="false">
      <c r="A2" s="13" t="s">
        <v>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25.5" hidden="false" customHeight="true" outlineLevel="0" collapsed="false">
      <c r="A3" s="14" t="s">
        <v>14</v>
      </c>
      <c r="B3" s="14" t="s">
        <v>15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43</v>
      </c>
      <c r="I3" s="14" t="s">
        <v>44</v>
      </c>
      <c r="J3" s="14" t="s">
        <v>45</v>
      </c>
      <c r="K3" s="14" t="s">
        <v>46</v>
      </c>
      <c r="L3" s="14" t="s">
        <v>47</v>
      </c>
    </row>
    <row r="4" customFormat="false" ht="24" hidden="false" customHeight="true" outlineLevel="0" collapsed="false">
      <c r="A4" s="15" t="s">
        <v>48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customFormat="false" ht="57.75" hidden="false" customHeight="true" outlineLevel="0" collapsed="false">
      <c r="A5" s="16" t="n">
        <v>1</v>
      </c>
      <c r="B5" s="16" t="n">
        <v>1</v>
      </c>
      <c r="C5" s="16" t="s">
        <v>49</v>
      </c>
      <c r="D5" s="17" t="n">
        <v>46195</v>
      </c>
      <c r="E5" s="18" t="s">
        <v>50</v>
      </c>
      <c r="F5" s="18" t="s">
        <v>51</v>
      </c>
      <c r="G5" s="16" t="s">
        <v>52</v>
      </c>
      <c r="H5" s="19" t="s">
        <v>53</v>
      </c>
      <c r="I5" s="16" t="s">
        <v>54</v>
      </c>
      <c r="J5" s="16" t="s">
        <v>55</v>
      </c>
      <c r="K5" s="16" t="s">
        <v>56</v>
      </c>
      <c r="L5" s="18" t="s">
        <v>57</v>
      </c>
    </row>
    <row r="6" customFormat="false" ht="57.75" hidden="false" customHeight="true" outlineLevel="0" collapsed="false">
      <c r="A6" s="20" t="n">
        <v>1</v>
      </c>
      <c r="B6" s="20" t="n">
        <v>1</v>
      </c>
      <c r="C6" s="20" t="s">
        <v>58</v>
      </c>
      <c r="D6" s="21" t="n">
        <v>46196</v>
      </c>
      <c r="E6" s="22" t="s">
        <v>59</v>
      </c>
      <c r="F6" s="22" t="s">
        <v>60</v>
      </c>
      <c r="G6" s="20" t="s">
        <v>61</v>
      </c>
      <c r="H6" s="23" t="s">
        <v>62</v>
      </c>
      <c r="I6" s="20" t="s">
        <v>54</v>
      </c>
      <c r="J6" s="20" t="s">
        <v>55</v>
      </c>
      <c r="K6" s="20" t="s">
        <v>56</v>
      </c>
      <c r="L6" s="22" t="s">
        <v>63</v>
      </c>
    </row>
    <row r="7" customFormat="false" ht="57.75" hidden="false" customHeight="true" outlineLevel="0" collapsed="false">
      <c r="A7" s="16" t="n">
        <v>1</v>
      </c>
      <c r="B7" s="16" t="n">
        <v>1</v>
      </c>
      <c r="C7" s="16" t="s">
        <v>64</v>
      </c>
      <c r="D7" s="17" t="n">
        <v>46197</v>
      </c>
      <c r="E7" s="18" t="s">
        <v>65</v>
      </c>
      <c r="F7" s="18" t="s">
        <v>66</v>
      </c>
      <c r="G7" s="16" t="s">
        <v>67</v>
      </c>
      <c r="H7" s="19" t="s">
        <v>68</v>
      </c>
      <c r="I7" s="16" t="s">
        <v>54</v>
      </c>
      <c r="J7" s="16" t="s">
        <v>55</v>
      </c>
      <c r="K7" s="16" t="s">
        <v>56</v>
      </c>
      <c r="L7" s="18" t="s">
        <v>69</v>
      </c>
    </row>
    <row r="8" customFormat="false" ht="57.75" hidden="false" customHeight="true" outlineLevel="0" collapsed="false">
      <c r="A8" s="20" t="n">
        <v>1</v>
      </c>
      <c r="B8" s="20" t="n">
        <v>1</v>
      </c>
      <c r="C8" s="20" t="s">
        <v>70</v>
      </c>
      <c r="D8" s="21" t="n">
        <v>46198</v>
      </c>
      <c r="E8" s="22" t="s">
        <v>71</v>
      </c>
      <c r="F8" s="22" t="s">
        <v>72</v>
      </c>
      <c r="G8" s="20" t="s">
        <v>52</v>
      </c>
      <c r="H8" s="23" t="s">
        <v>73</v>
      </c>
      <c r="I8" s="20" t="s">
        <v>54</v>
      </c>
      <c r="J8" s="20" t="s">
        <v>55</v>
      </c>
      <c r="K8" s="20" t="s">
        <v>74</v>
      </c>
      <c r="L8" s="22" t="s">
        <v>75</v>
      </c>
    </row>
    <row r="9" customFormat="false" ht="57.75" hidden="false" customHeight="true" outlineLevel="0" collapsed="false">
      <c r="A9" s="16" t="n">
        <v>1</v>
      </c>
      <c r="B9" s="16" t="n">
        <v>1</v>
      </c>
      <c r="C9" s="16" t="s">
        <v>76</v>
      </c>
      <c r="D9" s="17" t="n">
        <v>46199</v>
      </c>
      <c r="E9" s="18" t="s">
        <v>77</v>
      </c>
      <c r="F9" s="18" t="s">
        <v>78</v>
      </c>
      <c r="G9" s="16" t="s">
        <v>61</v>
      </c>
      <c r="H9" s="19" t="s">
        <v>79</v>
      </c>
      <c r="I9" s="16" t="s">
        <v>54</v>
      </c>
      <c r="J9" s="16" t="s">
        <v>55</v>
      </c>
      <c r="K9" s="16" t="s">
        <v>74</v>
      </c>
      <c r="L9" s="18" t="s">
        <v>80</v>
      </c>
    </row>
    <row r="10" customFormat="false" ht="57.75" hidden="false" customHeight="true" outlineLevel="0" collapsed="false">
      <c r="A10" s="20" t="n">
        <v>1</v>
      </c>
      <c r="B10" s="20" t="n">
        <v>1</v>
      </c>
      <c r="C10" s="20" t="s">
        <v>81</v>
      </c>
      <c r="D10" s="21" t="n">
        <v>46200</v>
      </c>
      <c r="E10" s="22" t="s">
        <v>82</v>
      </c>
      <c r="F10" s="22" t="s">
        <v>83</v>
      </c>
      <c r="G10" s="20" t="s">
        <v>67</v>
      </c>
      <c r="H10" s="23" t="s">
        <v>84</v>
      </c>
      <c r="I10" s="20" t="s">
        <v>85</v>
      </c>
      <c r="J10" s="20" t="s">
        <v>55</v>
      </c>
      <c r="K10" s="20" t="s">
        <v>56</v>
      </c>
      <c r="L10" s="22" t="s">
        <v>86</v>
      </c>
    </row>
    <row r="11" customFormat="false" ht="24" hidden="false" customHeight="true" outlineLevel="0" collapsed="false">
      <c r="A11" s="15" t="s">
        <v>87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57.75" hidden="false" customHeight="true" outlineLevel="0" collapsed="false">
      <c r="A12" s="20" t="n">
        <v>1</v>
      </c>
      <c r="B12" s="20" t="n">
        <v>2</v>
      </c>
      <c r="C12" s="20" t="s">
        <v>49</v>
      </c>
      <c r="D12" s="21" t="n">
        <v>46202</v>
      </c>
      <c r="E12" s="22" t="s">
        <v>88</v>
      </c>
      <c r="F12" s="22" t="s">
        <v>89</v>
      </c>
      <c r="G12" s="20" t="s">
        <v>52</v>
      </c>
      <c r="H12" s="23" t="s">
        <v>90</v>
      </c>
      <c r="I12" s="20" t="s">
        <v>54</v>
      </c>
      <c r="J12" s="20" t="s">
        <v>55</v>
      </c>
      <c r="K12" s="20" t="s">
        <v>74</v>
      </c>
      <c r="L12" s="22" t="s">
        <v>91</v>
      </c>
    </row>
    <row r="13" customFormat="false" ht="57.75" hidden="false" customHeight="true" outlineLevel="0" collapsed="false">
      <c r="A13" s="16" t="n">
        <v>1</v>
      </c>
      <c r="B13" s="16" t="n">
        <v>2</v>
      </c>
      <c r="C13" s="16" t="s">
        <v>58</v>
      </c>
      <c r="D13" s="17" t="n">
        <v>46203</v>
      </c>
      <c r="E13" s="18" t="s">
        <v>92</v>
      </c>
      <c r="F13" s="18" t="s">
        <v>93</v>
      </c>
      <c r="G13" s="16" t="s">
        <v>61</v>
      </c>
      <c r="H13" s="19" t="s">
        <v>94</v>
      </c>
      <c r="I13" s="16" t="s">
        <v>85</v>
      </c>
      <c r="J13" s="16" t="s">
        <v>55</v>
      </c>
      <c r="K13" s="16" t="s">
        <v>56</v>
      </c>
      <c r="L13" s="18" t="s">
        <v>95</v>
      </c>
    </row>
    <row r="14" customFormat="false" ht="57.75" hidden="false" customHeight="true" outlineLevel="0" collapsed="false">
      <c r="A14" s="20" t="n">
        <v>1</v>
      </c>
      <c r="B14" s="20" t="n">
        <v>2</v>
      </c>
      <c r="C14" s="20" t="s">
        <v>64</v>
      </c>
      <c r="D14" s="21" t="n">
        <v>46204</v>
      </c>
      <c r="E14" s="22" t="s">
        <v>96</v>
      </c>
      <c r="F14" s="22" t="s">
        <v>97</v>
      </c>
      <c r="G14" s="20" t="s">
        <v>52</v>
      </c>
      <c r="H14" s="23" t="s">
        <v>98</v>
      </c>
      <c r="I14" s="20" t="s">
        <v>85</v>
      </c>
      <c r="J14" s="20" t="s">
        <v>55</v>
      </c>
      <c r="K14" s="20" t="s">
        <v>56</v>
      </c>
      <c r="L14" s="22" t="s">
        <v>99</v>
      </c>
    </row>
    <row r="15" customFormat="false" ht="57.75" hidden="false" customHeight="true" outlineLevel="0" collapsed="false">
      <c r="A15" s="16" t="n">
        <v>1</v>
      </c>
      <c r="B15" s="16" t="n">
        <v>2</v>
      </c>
      <c r="C15" s="16" t="s">
        <v>70</v>
      </c>
      <c r="D15" s="17" t="n">
        <v>46205</v>
      </c>
      <c r="E15" s="18" t="s">
        <v>100</v>
      </c>
      <c r="F15" s="18" t="s">
        <v>101</v>
      </c>
      <c r="G15" s="16" t="s">
        <v>67</v>
      </c>
      <c r="H15" s="19" t="s">
        <v>102</v>
      </c>
      <c r="I15" s="16" t="s">
        <v>85</v>
      </c>
      <c r="J15" s="16" t="s">
        <v>55</v>
      </c>
      <c r="K15" s="16" t="s">
        <v>56</v>
      </c>
      <c r="L15" s="18" t="s">
        <v>103</v>
      </c>
    </row>
    <row r="16" customFormat="false" ht="57.75" hidden="false" customHeight="true" outlineLevel="0" collapsed="false">
      <c r="A16" s="20" t="n">
        <v>1</v>
      </c>
      <c r="B16" s="20" t="n">
        <v>2</v>
      </c>
      <c r="C16" s="20" t="s">
        <v>76</v>
      </c>
      <c r="D16" s="21" t="n">
        <v>46206</v>
      </c>
      <c r="E16" s="22" t="s">
        <v>104</v>
      </c>
      <c r="F16" s="22" t="s">
        <v>105</v>
      </c>
      <c r="G16" s="20" t="s">
        <v>67</v>
      </c>
      <c r="H16" s="23" t="s">
        <v>106</v>
      </c>
      <c r="I16" s="20" t="s">
        <v>54</v>
      </c>
      <c r="J16" s="20" t="s">
        <v>55</v>
      </c>
      <c r="K16" s="20" t="s">
        <v>74</v>
      </c>
      <c r="L16" s="22" t="s">
        <v>107</v>
      </c>
    </row>
    <row r="17" customFormat="false" ht="57.75" hidden="false" customHeight="true" outlineLevel="0" collapsed="false">
      <c r="A17" s="16" t="n">
        <v>1</v>
      </c>
      <c r="B17" s="16" t="n">
        <v>2</v>
      </c>
      <c r="C17" s="16" t="s">
        <v>81</v>
      </c>
      <c r="D17" s="17" t="n">
        <v>46207</v>
      </c>
      <c r="E17" s="18" t="s">
        <v>108</v>
      </c>
      <c r="F17" s="18" t="s">
        <v>109</v>
      </c>
      <c r="G17" s="16" t="s">
        <v>67</v>
      </c>
      <c r="H17" s="19" t="s">
        <v>110</v>
      </c>
      <c r="I17" s="16" t="s">
        <v>85</v>
      </c>
      <c r="J17" s="16" t="s">
        <v>55</v>
      </c>
      <c r="K17" s="16" t="s">
        <v>56</v>
      </c>
      <c r="L17" s="18" t="s">
        <v>111</v>
      </c>
    </row>
    <row r="18" customFormat="false" ht="24" hidden="false" customHeight="true" outlineLevel="0" collapsed="false">
      <c r="A18" s="15" t="s">
        <v>112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customFormat="false" ht="57.75" hidden="false" customHeight="true" outlineLevel="0" collapsed="false">
      <c r="A19" s="16" t="n">
        <v>1</v>
      </c>
      <c r="B19" s="16" t="n">
        <v>3</v>
      </c>
      <c r="C19" s="16" t="s">
        <v>49</v>
      </c>
      <c r="D19" s="17" t="n">
        <v>46209</v>
      </c>
      <c r="E19" s="18" t="s">
        <v>113</v>
      </c>
      <c r="F19" s="18" t="s">
        <v>114</v>
      </c>
      <c r="G19" s="16" t="s">
        <v>67</v>
      </c>
      <c r="H19" s="19" t="s">
        <v>115</v>
      </c>
      <c r="I19" s="16" t="s">
        <v>116</v>
      </c>
      <c r="J19" s="16" t="s">
        <v>55</v>
      </c>
      <c r="K19" s="16" t="s">
        <v>74</v>
      </c>
      <c r="L19" s="18" t="s">
        <v>117</v>
      </c>
    </row>
    <row r="20" customFormat="false" ht="57.75" hidden="false" customHeight="true" outlineLevel="0" collapsed="false">
      <c r="A20" s="20" t="n">
        <v>1</v>
      </c>
      <c r="B20" s="20" t="n">
        <v>3</v>
      </c>
      <c r="C20" s="20" t="s">
        <v>58</v>
      </c>
      <c r="D20" s="21" t="n">
        <v>46210</v>
      </c>
      <c r="E20" s="22" t="s">
        <v>118</v>
      </c>
      <c r="F20" s="22" t="s">
        <v>119</v>
      </c>
      <c r="G20" s="20" t="s">
        <v>52</v>
      </c>
      <c r="H20" s="23" t="s">
        <v>120</v>
      </c>
      <c r="I20" s="20" t="s">
        <v>54</v>
      </c>
      <c r="J20" s="20" t="s">
        <v>55</v>
      </c>
      <c r="K20" s="20" t="s">
        <v>56</v>
      </c>
      <c r="L20" s="22" t="s">
        <v>121</v>
      </c>
    </row>
    <row r="21" customFormat="false" ht="57.75" hidden="false" customHeight="true" outlineLevel="0" collapsed="false">
      <c r="A21" s="16" t="n">
        <v>1</v>
      </c>
      <c r="B21" s="16" t="n">
        <v>3</v>
      </c>
      <c r="C21" s="16" t="s">
        <v>64</v>
      </c>
      <c r="D21" s="17" t="n">
        <v>46211</v>
      </c>
      <c r="E21" s="18" t="s">
        <v>122</v>
      </c>
      <c r="F21" s="18" t="s">
        <v>123</v>
      </c>
      <c r="G21" s="16" t="s">
        <v>61</v>
      </c>
      <c r="H21" s="19" t="s">
        <v>124</v>
      </c>
      <c r="I21" s="16" t="s">
        <v>54</v>
      </c>
      <c r="J21" s="16" t="s">
        <v>55</v>
      </c>
      <c r="K21" s="16" t="s">
        <v>56</v>
      </c>
      <c r="L21" s="18" t="s">
        <v>125</v>
      </c>
    </row>
    <row r="22" customFormat="false" ht="57.75" hidden="false" customHeight="true" outlineLevel="0" collapsed="false">
      <c r="A22" s="20" t="n">
        <v>1</v>
      </c>
      <c r="B22" s="20" t="n">
        <v>3</v>
      </c>
      <c r="C22" s="20" t="s">
        <v>70</v>
      </c>
      <c r="D22" s="21" t="n">
        <v>46212</v>
      </c>
      <c r="E22" s="22" t="s">
        <v>126</v>
      </c>
      <c r="F22" s="22" t="s">
        <v>127</v>
      </c>
      <c r="G22" s="20" t="s">
        <v>67</v>
      </c>
      <c r="H22" s="23" t="s">
        <v>128</v>
      </c>
      <c r="I22" s="20" t="s">
        <v>54</v>
      </c>
      <c r="J22" s="20" t="s">
        <v>55</v>
      </c>
      <c r="K22" s="20" t="s">
        <v>56</v>
      </c>
      <c r="L22" s="22" t="s">
        <v>129</v>
      </c>
    </row>
    <row r="23" customFormat="false" ht="57.75" hidden="false" customHeight="true" outlineLevel="0" collapsed="false">
      <c r="A23" s="16" t="n">
        <v>1</v>
      </c>
      <c r="B23" s="16" t="n">
        <v>3</v>
      </c>
      <c r="C23" s="16" t="s">
        <v>76</v>
      </c>
      <c r="D23" s="17" t="n">
        <v>46213</v>
      </c>
      <c r="E23" s="18" t="s">
        <v>130</v>
      </c>
      <c r="F23" s="18" t="s">
        <v>131</v>
      </c>
      <c r="G23" s="16" t="s">
        <v>52</v>
      </c>
      <c r="H23" s="19" t="s">
        <v>132</v>
      </c>
      <c r="I23" s="16" t="s">
        <v>54</v>
      </c>
      <c r="J23" s="16" t="s">
        <v>55</v>
      </c>
      <c r="K23" s="16" t="s">
        <v>56</v>
      </c>
      <c r="L23" s="18" t="s">
        <v>133</v>
      </c>
    </row>
    <row r="24" customFormat="false" ht="57.75" hidden="false" customHeight="true" outlineLevel="0" collapsed="false">
      <c r="A24" s="20" t="n">
        <v>1</v>
      </c>
      <c r="B24" s="20" t="n">
        <v>3</v>
      </c>
      <c r="C24" s="20" t="s">
        <v>81</v>
      </c>
      <c r="D24" s="21" t="n">
        <v>46214</v>
      </c>
      <c r="E24" s="22" t="s">
        <v>134</v>
      </c>
      <c r="F24" s="22" t="s">
        <v>135</v>
      </c>
      <c r="G24" s="20" t="s">
        <v>67</v>
      </c>
      <c r="H24" s="23" t="s">
        <v>136</v>
      </c>
      <c r="I24" s="20" t="s">
        <v>85</v>
      </c>
      <c r="J24" s="20" t="s">
        <v>55</v>
      </c>
      <c r="K24" s="20" t="s">
        <v>56</v>
      </c>
      <c r="L24" s="22" t="s">
        <v>137</v>
      </c>
    </row>
    <row r="25" customFormat="false" ht="24" hidden="false" customHeight="true" outlineLevel="0" collapsed="false">
      <c r="A25" s="15" t="s">
        <v>138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57.75" hidden="false" customHeight="true" outlineLevel="0" collapsed="false">
      <c r="A26" s="20" t="n">
        <v>1</v>
      </c>
      <c r="B26" s="20" t="n">
        <v>4</v>
      </c>
      <c r="C26" s="20" t="s">
        <v>49</v>
      </c>
      <c r="D26" s="21" t="n">
        <v>46216</v>
      </c>
      <c r="E26" s="22" t="s">
        <v>139</v>
      </c>
      <c r="F26" s="22" t="s">
        <v>140</v>
      </c>
      <c r="G26" s="20" t="s">
        <v>67</v>
      </c>
      <c r="H26" s="23" t="s">
        <v>141</v>
      </c>
      <c r="I26" s="20" t="s">
        <v>54</v>
      </c>
      <c r="J26" s="20" t="s">
        <v>55</v>
      </c>
      <c r="K26" s="20" t="s">
        <v>56</v>
      </c>
      <c r="L26" s="22" t="s">
        <v>142</v>
      </c>
    </row>
    <row r="27" customFormat="false" ht="57.75" hidden="false" customHeight="true" outlineLevel="0" collapsed="false">
      <c r="A27" s="16" t="n">
        <v>1</v>
      </c>
      <c r="B27" s="16" t="n">
        <v>4</v>
      </c>
      <c r="C27" s="16" t="s">
        <v>58</v>
      </c>
      <c r="D27" s="17" t="n">
        <v>46217</v>
      </c>
      <c r="E27" s="18" t="s">
        <v>143</v>
      </c>
      <c r="F27" s="18" t="s">
        <v>144</v>
      </c>
      <c r="G27" s="16" t="s">
        <v>52</v>
      </c>
      <c r="H27" s="19" t="s">
        <v>145</v>
      </c>
      <c r="I27" s="16" t="s">
        <v>85</v>
      </c>
      <c r="J27" s="16" t="s">
        <v>55</v>
      </c>
      <c r="K27" s="16" t="s">
        <v>56</v>
      </c>
      <c r="L27" s="18" t="s">
        <v>146</v>
      </c>
    </row>
    <row r="28" customFormat="false" ht="57.75" hidden="false" customHeight="true" outlineLevel="0" collapsed="false">
      <c r="A28" s="20" t="n">
        <v>1</v>
      </c>
      <c r="B28" s="20" t="n">
        <v>4</v>
      </c>
      <c r="C28" s="20" t="s">
        <v>64</v>
      </c>
      <c r="D28" s="21" t="n">
        <v>46218</v>
      </c>
      <c r="E28" s="22" t="s">
        <v>147</v>
      </c>
      <c r="F28" s="22" t="s">
        <v>148</v>
      </c>
      <c r="G28" s="20" t="s">
        <v>61</v>
      </c>
      <c r="H28" s="23" t="s">
        <v>149</v>
      </c>
      <c r="I28" s="20" t="s">
        <v>54</v>
      </c>
      <c r="J28" s="20" t="s">
        <v>55</v>
      </c>
      <c r="K28" s="20" t="s">
        <v>56</v>
      </c>
      <c r="L28" s="22" t="s">
        <v>150</v>
      </c>
    </row>
    <row r="29" customFormat="false" ht="57.75" hidden="false" customHeight="true" outlineLevel="0" collapsed="false">
      <c r="A29" s="16" t="n">
        <v>1</v>
      </c>
      <c r="B29" s="16" t="n">
        <v>4</v>
      </c>
      <c r="C29" s="16" t="s">
        <v>70</v>
      </c>
      <c r="D29" s="17" t="n">
        <v>46219</v>
      </c>
      <c r="E29" s="18" t="s">
        <v>151</v>
      </c>
      <c r="F29" s="18" t="s">
        <v>152</v>
      </c>
      <c r="G29" s="16" t="s">
        <v>67</v>
      </c>
      <c r="H29" s="19" t="s">
        <v>153</v>
      </c>
      <c r="I29" s="16" t="s">
        <v>54</v>
      </c>
      <c r="J29" s="16" t="s">
        <v>55</v>
      </c>
      <c r="K29" s="16" t="s">
        <v>74</v>
      </c>
      <c r="L29" s="18" t="s">
        <v>154</v>
      </c>
    </row>
    <row r="30" customFormat="false" ht="57.75" hidden="false" customHeight="true" outlineLevel="0" collapsed="false">
      <c r="A30" s="20" t="n">
        <v>1</v>
      </c>
      <c r="B30" s="20" t="n">
        <v>4</v>
      </c>
      <c r="C30" s="20" t="s">
        <v>76</v>
      </c>
      <c r="D30" s="21" t="n">
        <v>46220</v>
      </c>
      <c r="E30" s="22" t="s">
        <v>155</v>
      </c>
      <c r="F30" s="22" t="s">
        <v>156</v>
      </c>
      <c r="G30" s="20" t="s">
        <v>52</v>
      </c>
      <c r="H30" s="23" t="s">
        <v>157</v>
      </c>
      <c r="I30" s="20" t="s">
        <v>54</v>
      </c>
      <c r="J30" s="20" t="s">
        <v>55</v>
      </c>
      <c r="K30" s="20" t="s">
        <v>56</v>
      </c>
      <c r="L30" s="22" t="s">
        <v>158</v>
      </c>
    </row>
    <row r="31" customFormat="false" ht="57.75" hidden="false" customHeight="true" outlineLevel="0" collapsed="false">
      <c r="A31" s="16" t="n">
        <v>1</v>
      </c>
      <c r="B31" s="16" t="n">
        <v>4</v>
      </c>
      <c r="C31" s="16" t="s">
        <v>81</v>
      </c>
      <c r="D31" s="17" t="n">
        <v>46221</v>
      </c>
      <c r="E31" s="18" t="s">
        <v>159</v>
      </c>
      <c r="F31" s="18" t="s">
        <v>160</v>
      </c>
      <c r="G31" s="16" t="s">
        <v>67</v>
      </c>
      <c r="H31" s="19" t="s">
        <v>161</v>
      </c>
      <c r="I31" s="16" t="s">
        <v>162</v>
      </c>
      <c r="J31" s="16" t="s">
        <v>55</v>
      </c>
      <c r="K31" s="16" t="s">
        <v>56</v>
      </c>
      <c r="L31" s="18" t="s">
        <v>163</v>
      </c>
    </row>
    <row r="32" customFormat="false" ht="24" hidden="false" customHeight="true" outlineLevel="0" collapsed="false">
      <c r="A32" s="24" t="s">
        <v>164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customFormat="false" ht="57.75" hidden="false" customHeight="true" outlineLevel="0" collapsed="false">
      <c r="A33" s="16" t="n">
        <v>2</v>
      </c>
      <c r="B33" s="16" t="n">
        <v>5</v>
      </c>
      <c r="C33" s="16" t="s">
        <v>49</v>
      </c>
      <c r="D33" s="17" t="n">
        <v>46223</v>
      </c>
      <c r="E33" s="18" t="s">
        <v>165</v>
      </c>
      <c r="F33" s="18" t="s">
        <v>166</v>
      </c>
      <c r="G33" s="16" t="s">
        <v>67</v>
      </c>
      <c r="H33" s="19" t="s">
        <v>167</v>
      </c>
      <c r="I33" s="16" t="s">
        <v>54</v>
      </c>
      <c r="J33" s="16" t="s">
        <v>55</v>
      </c>
      <c r="K33" s="16" t="s">
        <v>56</v>
      </c>
      <c r="L33" s="18" t="s">
        <v>168</v>
      </c>
    </row>
    <row r="34" customFormat="false" ht="57.75" hidden="false" customHeight="true" outlineLevel="0" collapsed="false">
      <c r="A34" s="20" t="n">
        <v>2</v>
      </c>
      <c r="B34" s="20" t="n">
        <v>5</v>
      </c>
      <c r="C34" s="20" t="s">
        <v>58</v>
      </c>
      <c r="D34" s="21" t="n">
        <v>46224</v>
      </c>
      <c r="E34" s="22" t="s">
        <v>169</v>
      </c>
      <c r="F34" s="22" t="s">
        <v>170</v>
      </c>
      <c r="G34" s="20" t="s">
        <v>52</v>
      </c>
      <c r="H34" s="23" t="s">
        <v>171</v>
      </c>
      <c r="I34" s="20" t="s">
        <v>54</v>
      </c>
      <c r="J34" s="20" t="s">
        <v>55</v>
      </c>
      <c r="K34" s="20" t="s">
        <v>56</v>
      </c>
      <c r="L34" s="22" t="s">
        <v>172</v>
      </c>
    </row>
    <row r="35" customFormat="false" ht="57.75" hidden="false" customHeight="true" outlineLevel="0" collapsed="false">
      <c r="A35" s="16" t="n">
        <v>2</v>
      </c>
      <c r="B35" s="16" t="n">
        <v>5</v>
      </c>
      <c r="C35" s="16" t="s">
        <v>64</v>
      </c>
      <c r="D35" s="17" t="n">
        <v>46225</v>
      </c>
      <c r="E35" s="18" t="s">
        <v>173</v>
      </c>
      <c r="F35" s="18" t="s">
        <v>174</v>
      </c>
      <c r="G35" s="16" t="s">
        <v>67</v>
      </c>
      <c r="H35" s="19" t="s">
        <v>175</v>
      </c>
      <c r="I35" s="16" t="s">
        <v>85</v>
      </c>
      <c r="J35" s="16" t="s">
        <v>55</v>
      </c>
      <c r="K35" s="16" t="s">
        <v>56</v>
      </c>
      <c r="L35" s="18" t="s">
        <v>176</v>
      </c>
    </row>
    <row r="36" customFormat="false" ht="57.75" hidden="false" customHeight="true" outlineLevel="0" collapsed="false">
      <c r="A36" s="20" t="n">
        <v>2</v>
      </c>
      <c r="B36" s="20" t="n">
        <v>5</v>
      </c>
      <c r="C36" s="20" t="s">
        <v>70</v>
      </c>
      <c r="D36" s="21" t="n">
        <v>46226</v>
      </c>
      <c r="E36" s="22" t="s">
        <v>177</v>
      </c>
      <c r="F36" s="22" t="s">
        <v>178</v>
      </c>
      <c r="G36" s="20" t="s">
        <v>52</v>
      </c>
      <c r="H36" s="23" t="s">
        <v>179</v>
      </c>
      <c r="I36" s="20" t="s">
        <v>54</v>
      </c>
      <c r="J36" s="20" t="s">
        <v>55</v>
      </c>
      <c r="K36" s="20" t="s">
        <v>56</v>
      </c>
      <c r="L36" s="22" t="s">
        <v>180</v>
      </c>
    </row>
    <row r="37" customFormat="false" ht="57.75" hidden="false" customHeight="true" outlineLevel="0" collapsed="false">
      <c r="A37" s="16" t="n">
        <v>2</v>
      </c>
      <c r="B37" s="16" t="n">
        <v>5</v>
      </c>
      <c r="C37" s="16" t="s">
        <v>76</v>
      </c>
      <c r="D37" s="17" t="n">
        <v>46227</v>
      </c>
      <c r="E37" s="18" t="s">
        <v>181</v>
      </c>
      <c r="F37" s="18" t="s">
        <v>182</v>
      </c>
      <c r="G37" s="16" t="s">
        <v>67</v>
      </c>
      <c r="H37" s="19" t="s">
        <v>183</v>
      </c>
      <c r="I37" s="16" t="s">
        <v>54</v>
      </c>
      <c r="J37" s="16" t="s">
        <v>55</v>
      </c>
      <c r="K37" s="16" t="s">
        <v>74</v>
      </c>
      <c r="L37" s="18" t="s">
        <v>184</v>
      </c>
    </row>
    <row r="38" customFormat="false" ht="57.75" hidden="false" customHeight="true" outlineLevel="0" collapsed="false">
      <c r="A38" s="20" t="n">
        <v>2</v>
      </c>
      <c r="B38" s="20" t="n">
        <v>5</v>
      </c>
      <c r="C38" s="20" t="s">
        <v>81</v>
      </c>
      <c r="D38" s="21" t="n">
        <v>46228</v>
      </c>
      <c r="E38" s="22" t="s">
        <v>185</v>
      </c>
      <c r="F38" s="22" t="s">
        <v>186</v>
      </c>
      <c r="G38" s="20" t="s">
        <v>67</v>
      </c>
      <c r="H38" s="23" t="s">
        <v>187</v>
      </c>
      <c r="I38" s="20" t="s">
        <v>162</v>
      </c>
      <c r="J38" s="20" t="s">
        <v>55</v>
      </c>
      <c r="K38" s="20" t="s">
        <v>56</v>
      </c>
      <c r="L38" s="22" t="s">
        <v>188</v>
      </c>
    </row>
    <row r="39" customFormat="false" ht="24" hidden="false" customHeight="true" outlineLevel="0" collapsed="false">
      <c r="A39" s="24" t="s">
        <v>189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customFormat="false" ht="57.75" hidden="false" customHeight="true" outlineLevel="0" collapsed="false">
      <c r="A40" s="20" t="n">
        <v>2</v>
      </c>
      <c r="B40" s="20" t="n">
        <v>6</v>
      </c>
      <c r="C40" s="20" t="s">
        <v>49</v>
      </c>
      <c r="D40" s="21" t="n">
        <v>46230</v>
      </c>
      <c r="E40" s="22" t="s">
        <v>190</v>
      </c>
      <c r="F40" s="22" t="s">
        <v>191</v>
      </c>
      <c r="G40" s="20" t="s">
        <v>67</v>
      </c>
      <c r="H40" s="23" t="s">
        <v>192</v>
      </c>
      <c r="I40" s="20" t="s">
        <v>54</v>
      </c>
      <c r="J40" s="20" t="s">
        <v>55</v>
      </c>
      <c r="K40" s="20" t="s">
        <v>56</v>
      </c>
      <c r="L40" s="22" t="s">
        <v>193</v>
      </c>
    </row>
    <row r="41" customFormat="false" ht="57.75" hidden="false" customHeight="true" outlineLevel="0" collapsed="false">
      <c r="A41" s="16" t="n">
        <v>2</v>
      </c>
      <c r="B41" s="16" t="n">
        <v>6</v>
      </c>
      <c r="C41" s="16" t="s">
        <v>58</v>
      </c>
      <c r="D41" s="17" t="n">
        <v>46231</v>
      </c>
      <c r="E41" s="18" t="s">
        <v>194</v>
      </c>
      <c r="F41" s="18" t="s">
        <v>195</v>
      </c>
      <c r="G41" s="16" t="s">
        <v>52</v>
      </c>
      <c r="H41" s="19" t="s">
        <v>196</v>
      </c>
      <c r="I41" s="16" t="s">
        <v>85</v>
      </c>
      <c r="J41" s="16" t="s">
        <v>55</v>
      </c>
      <c r="K41" s="16" t="s">
        <v>56</v>
      </c>
      <c r="L41" s="18" t="s">
        <v>197</v>
      </c>
    </row>
    <row r="42" customFormat="false" ht="57.75" hidden="false" customHeight="true" outlineLevel="0" collapsed="false">
      <c r="A42" s="20" t="n">
        <v>2</v>
      </c>
      <c r="B42" s="20" t="n">
        <v>6</v>
      </c>
      <c r="C42" s="20" t="s">
        <v>64</v>
      </c>
      <c r="D42" s="21" t="n">
        <v>46232</v>
      </c>
      <c r="E42" s="22" t="s">
        <v>198</v>
      </c>
      <c r="F42" s="22" t="s">
        <v>199</v>
      </c>
      <c r="G42" s="20" t="s">
        <v>67</v>
      </c>
      <c r="H42" s="23" t="s">
        <v>200</v>
      </c>
      <c r="I42" s="20" t="s">
        <v>54</v>
      </c>
      <c r="J42" s="20" t="s">
        <v>55</v>
      </c>
      <c r="K42" s="20" t="s">
        <v>74</v>
      </c>
      <c r="L42" s="22" t="s">
        <v>201</v>
      </c>
    </row>
    <row r="43" customFormat="false" ht="57.75" hidden="false" customHeight="true" outlineLevel="0" collapsed="false">
      <c r="A43" s="16" t="n">
        <v>2</v>
      </c>
      <c r="B43" s="16" t="n">
        <v>6</v>
      </c>
      <c r="C43" s="16" t="s">
        <v>70</v>
      </c>
      <c r="D43" s="17" t="n">
        <v>46233</v>
      </c>
      <c r="E43" s="18" t="s">
        <v>202</v>
      </c>
      <c r="F43" s="18" t="s">
        <v>203</v>
      </c>
      <c r="G43" s="16" t="s">
        <v>67</v>
      </c>
      <c r="H43" s="19" t="s">
        <v>204</v>
      </c>
      <c r="I43" s="16" t="s">
        <v>116</v>
      </c>
      <c r="J43" s="16" t="s">
        <v>55</v>
      </c>
      <c r="K43" s="16" t="s">
        <v>74</v>
      </c>
      <c r="L43" s="18" t="s">
        <v>205</v>
      </c>
    </row>
    <row r="44" customFormat="false" ht="57.75" hidden="false" customHeight="true" outlineLevel="0" collapsed="false">
      <c r="A44" s="20" t="n">
        <v>2</v>
      </c>
      <c r="B44" s="20" t="n">
        <v>6</v>
      </c>
      <c r="C44" s="20" t="s">
        <v>76</v>
      </c>
      <c r="D44" s="21" t="n">
        <v>46234</v>
      </c>
      <c r="E44" s="22" t="s">
        <v>206</v>
      </c>
      <c r="F44" s="22" t="s">
        <v>207</v>
      </c>
      <c r="G44" s="20" t="s">
        <v>52</v>
      </c>
      <c r="H44" s="23" t="s">
        <v>208</v>
      </c>
      <c r="I44" s="20" t="s">
        <v>54</v>
      </c>
      <c r="J44" s="20" t="s">
        <v>55</v>
      </c>
      <c r="K44" s="20" t="s">
        <v>74</v>
      </c>
      <c r="L44" s="22" t="s">
        <v>209</v>
      </c>
    </row>
    <row r="45" customFormat="false" ht="57.75" hidden="false" customHeight="true" outlineLevel="0" collapsed="false">
      <c r="A45" s="16" t="n">
        <v>2</v>
      </c>
      <c r="B45" s="16" t="n">
        <v>6</v>
      </c>
      <c r="C45" s="16" t="s">
        <v>81</v>
      </c>
      <c r="D45" s="17" t="n">
        <v>46235</v>
      </c>
      <c r="E45" s="18" t="s">
        <v>210</v>
      </c>
      <c r="F45" s="18" t="s">
        <v>211</v>
      </c>
      <c r="G45" s="16" t="s">
        <v>67</v>
      </c>
      <c r="H45" s="19" t="s">
        <v>212</v>
      </c>
      <c r="I45" s="16" t="s">
        <v>85</v>
      </c>
      <c r="J45" s="16" t="s">
        <v>55</v>
      </c>
      <c r="K45" s="16" t="s">
        <v>56</v>
      </c>
      <c r="L45" s="18" t="s">
        <v>213</v>
      </c>
    </row>
    <row r="46" customFormat="false" ht="24" hidden="false" customHeight="true" outlineLevel="0" collapsed="false">
      <c r="A46" s="24" t="s">
        <v>214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customFormat="false" ht="57.75" hidden="false" customHeight="true" outlineLevel="0" collapsed="false">
      <c r="A47" s="16" t="n">
        <v>2</v>
      </c>
      <c r="B47" s="16" t="n">
        <v>7</v>
      </c>
      <c r="C47" s="16" t="s">
        <v>49</v>
      </c>
      <c r="D47" s="17" t="n">
        <v>46237</v>
      </c>
      <c r="E47" s="18" t="s">
        <v>215</v>
      </c>
      <c r="F47" s="18" t="s">
        <v>216</v>
      </c>
      <c r="G47" s="16" t="s">
        <v>61</v>
      </c>
      <c r="H47" s="19" t="s">
        <v>217</v>
      </c>
      <c r="I47" s="16" t="s">
        <v>54</v>
      </c>
      <c r="J47" s="16" t="s">
        <v>55</v>
      </c>
      <c r="K47" s="16" t="s">
        <v>56</v>
      </c>
      <c r="L47" s="18" t="s">
        <v>218</v>
      </c>
    </row>
    <row r="48" customFormat="false" ht="57.75" hidden="false" customHeight="true" outlineLevel="0" collapsed="false">
      <c r="A48" s="20" t="n">
        <v>2</v>
      </c>
      <c r="B48" s="20" t="n">
        <v>7</v>
      </c>
      <c r="C48" s="20" t="s">
        <v>58</v>
      </c>
      <c r="D48" s="21" t="n">
        <v>46238</v>
      </c>
      <c r="E48" s="22" t="s">
        <v>219</v>
      </c>
      <c r="F48" s="22" t="s">
        <v>220</v>
      </c>
      <c r="G48" s="20" t="s">
        <v>52</v>
      </c>
      <c r="H48" s="23" t="s">
        <v>221</v>
      </c>
      <c r="I48" s="20" t="s">
        <v>54</v>
      </c>
      <c r="J48" s="20" t="s">
        <v>55</v>
      </c>
      <c r="K48" s="20" t="s">
        <v>56</v>
      </c>
      <c r="L48" s="22" t="s">
        <v>222</v>
      </c>
    </row>
    <row r="49" customFormat="false" ht="57.75" hidden="false" customHeight="true" outlineLevel="0" collapsed="false">
      <c r="A49" s="16" t="n">
        <v>2</v>
      </c>
      <c r="B49" s="16" t="n">
        <v>7</v>
      </c>
      <c r="C49" s="16" t="s">
        <v>64</v>
      </c>
      <c r="D49" s="17" t="n">
        <v>46239</v>
      </c>
      <c r="E49" s="18" t="s">
        <v>223</v>
      </c>
      <c r="F49" s="18" t="s">
        <v>224</v>
      </c>
      <c r="G49" s="16" t="s">
        <v>67</v>
      </c>
      <c r="H49" s="19" t="s">
        <v>225</v>
      </c>
      <c r="I49" s="16" t="s">
        <v>85</v>
      </c>
      <c r="J49" s="16" t="s">
        <v>55</v>
      </c>
      <c r="K49" s="16" t="s">
        <v>56</v>
      </c>
      <c r="L49" s="18" t="s">
        <v>226</v>
      </c>
    </row>
    <row r="50" customFormat="false" ht="57.75" hidden="false" customHeight="true" outlineLevel="0" collapsed="false">
      <c r="A50" s="20" t="n">
        <v>2</v>
      </c>
      <c r="B50" s="20" t="n">
        <v>7</v>
      </c>
      <c r="C50" s="20" t="s">
        <v>70</v>
      </c>
      <c r="D50" s="21" t="n">
        <v>46240</v>
      </c>
      <c r="E50" s="22" t="s">
        <v>227</v>
      </c>
      <c r="F50" s="22" t="s">
        <v>228</v>
      </c>
      <c r="G50" s="20" t="s">
        <v>52</v>
      </c>
      <c r="H50" s="23" t="s">
        <v>229</v>
      </c>
      <c r="I50" s="20" t="s">
        <v>54</v>
      </c>
      <c r="J50" s="20" t="s">
        <v>55</v>
      </c>
      <c r="K50" s="20" t="s">
        <v>56</v>
      </c>
      <c r="L50" s="22" t="s">
        <v>230</v>
      </c>
    </row>
    <row r="51" customFormat="false" ht="57.75" hidden="false" customHeight="true" outlineLevel="0" collapsed="false">
      <c r="A51" s="16" t="n">
        <v>2</v>
      </c>
      <c r="B51" s="16" t="n">
        <v>7</v>
      </c>
      <c r="C51" s="16" t="s">
        <v>76</v>
      </c>
      <c r="D51" s="17" t="n">
        <v>46241</v>
      </c>
      <c r="E51" s="18" t="s">
        <v>231</v>
      </c>
      <c r="F51" s="18" t="s">
        <v>232</v>
      </c>
      <c r="G51" s="16" t="s">
        <v>67</v>
      </c>
      <c r="H51" s="19" t="s">
        <v>233</v>
      </c>
      <c r="I51" s="16" t="s">
        <v>54</v>
      </c>
      <c r="J51" s="16" t="s">
        <v>55</v>
      </c>
      <c r="K51" s="16" t="s">
        <v>56</v>
      </c>
      <c r="L51" s="18" t="s">
        <v>234</v>
      </c>
    </row>
    <row r="52" customFormat="false" ht="57.75" hidden="false" customHeight="true" outlineLevel="0" collapsed="false">
      <c r="A52" s="20" t="n">
        <v>2</v>
      </c>
      <c r="B52" s="20" t="n">
        <v>7</v>
      </c>
      <c r="C52" s="20" t="s">
        <v>81</v>
      </c>
      <c r="D52" s="21" t="n">
        <v>46242</v>
      </c>
      <c r="E52" s="22" t="s">
        <v>235</v>
      </c>
      <c r="F52" s="22" t="s">
        <v>236</v>
      </c>
      <c r="G52" s="20" t="s">
        <v>67</v>
      </c>
      <c r="H52" s="23" t="s">
        <v>237</v>
      </c>
      <c r="I52" s="20" t="s">
        <v>85</v>
      </c>
      <c r="J52" s="20" t="s">
        <v>55</v>
      </c>
      <c r="K52" s="20" t="s">
        <v>56</v>
      </c>
      <c r="L52" s="22" t="s">
        <v>238</v>
      </c>
    </row>
    <row r="53" customFormat="false" ht="24" hidden="false" customHeight="true" outlineLevel="0" collapsed="false">
      <c r="A53" s="24" t="s">
        <v>239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57.75" hidden="false" customHeight="true" outlineLevel="0" collapsed="false">
      <c r="A54" s="20" t="n">
        <v>2</v>
      </c>
      <c r="B54" s="20" t="n">
        <v>8</v>
      </c>
      <c r="C54" s="20" t="s">
        <v>49</v>
      </c>
      <c r="D54" s="21" t="n">
        <v>46244</v>
      </c>
      <c r="E54" s="22" t="s">
        <v>240</v>
      </c>
      <c r="F54" s="22" t="s">
        <v>241</v>
      </c>
      <c r="G54" s="20" t="s">
        <v>67</v>
      </c>
      <c r="H54" s="23" t="s">
        <v>242</v>
      </c>
      <c r="I54" s="20" t="s">
        <v>54</v>
      </c>
      <c r="J54" s="20" t="s">
        <v>55</v>
      </c>
      <c r="K54" s="20" t="s">
        <v>74</v>
      </c>
      <c r="L54" s="22" t="s">
        <v>243</v>
      </c>
    </row>
    <row r="55" customFormat="false" ht="57.75" hidden="false" customHeight="true" outlineLevel="0" collapsed="false">
      <c r="A55" s="16" t="n">
        <v>2</v>
      </c>
      <c r="B55" s="16" t="n">
        <v>8</v>
      </c>
      <c r="C55" s="16" t="s">
        <v>58</v>
      </c>
      <c r="D55" s="17" t="n">
        <v>46245</v>
      </c>
      <c r="E55" s="18" t="s">
        <v>244</v>
      </c>
      <c r="F55" s="18" t="s">
        <v>245</v>
      </c>
      <c r="G55" s="16" t="s">
        <v>67</v>
      </c>
      <c r="H55" s="19" t="s">
        <v>246</v>
      </c>
      <c r="I55" s="16" t="s">
        <v>54</v>
      </c>
      <c r="J55" s="16" t="s">
        <v>55</v>
      </c>
      <c r="K55" s="16" t="s">
        <v>74</v>
      </c>
      <c r="L55" s="18" t="s">
        <v>247</v>
      </c>
    </row>
    <row r="56" customFormat="false" ht="57.75" hidden="false" customHeight="true" outlineLevel="0" collapsed="false">
      <c r="A56" s="20" t="n">
        <v>2</v>
      </c>
      <c r="B56" s="20" t="n">
        <v>8</v>
      </c>
      <c r="C56" s="20" t="s">
        <v>64</v>
      </c>
      <c r="D56" s="21" t="n">
        <v>46246</v>
      </c>
      <c r="E56" s="22" t="s">
        <v>248</v>
      </c>
      <c r="F56" s="22" t="s">
        <v>249</v>
      </c>
      <c r="G56" s="20" t="s">
        <v>52</v>
      </c>
      <c r="H56" s="23" t="s">
        <v>250</v>
      </c>
      <c r="I56" s="20" t="s">
        <v>54</v>
      </c>
      <c r="J56" s="20" t="s">
        <v>55</v>
      </c>
      <c r="K56" s="20" t="s">
        <v>56</v>
      </c>
      <c r="L56" s="22" t="s">
        <v>251</v>
      </c>
    </row>
    <row r="57" customFormat="false" ht="57.75" hidden="false" customHeight="true" outlineLevel="0" collapsed="false">
      <c r="A57" s="16" t="n">
        <v>2</v>
      </c>
      <c r="B57" s="16" t="n">
        <v>8</v>
      </c>
      <c r="C57" s="16" t="s">
        <v>70</v>
      </c>
      <c r="D57" s="17" t="n">
        <v>46247</v>
      </c>
      <c r="E57" s="18" t="s">
        <v>252</v>
      </c>
      <c r="F57" s="18" t="s">
        <v>253</v>
      </c>
      <c r="G57" s="16" t="s">
        <v>67</v>
      </c>
      <c r="H57" s="19" t="s">
        <v>254</v>
      </c>
      <c r="I57" s="16" t="s">
        <v>54</v>
      </c>
      <c r="J57" s="16" t="s">
        <v>55</v>
      </c>
      <c r="K57" s="16" t="s">
        <v>74</v>
      </c>
      <c r="L57" s="18" t="s">
        <v>255</v>
      </c>
    </row>
    <row r="58" customFormat="false" ht="57.75" hidden="false" customHeight="true" outlineLevel="0" collapsed="false">
      <c r="A58" s="20" t="n">
        <v>2</v>
      </c>
      <c r="B58" s="20" t="n">
        <v>8</v>
      </c>
      <c r="C58" s="20" t="s">
        <v>76</v>
      </c>
      <c r="D58" s="21" t="n">
        <v>46248</v>
      </c>
      <c r="E58" s="22" t="s">
        <v>256</v>
      </c>
      <c r="F58" s="22" t="s">
        <v>257</v>
      </c>
      <c r="G58" s="20" t="s">
        <v>52</v>
      </c>
      <c r="H58" s="23" t="s">
        <v>258</v>
      </c>
      <c r="I58" s="20" t="s">
        <v>54</v>
      </c>
      <c r="J58" s="20" t="s">
        <v>55</v>
      </c>
      <c r="K58" s="20" t="s">
        <v>74</v>
      </c>
      <c r="L58" s="22" t="s">
        <v>259</v>
      </c>
    </row>
    <row r="59" customFormat="false" ht="57.75" hidden="false" customHeight="true" outlineLevel="0" collapsed="false">
      <c r="A59" s="16" t="n">
        <v>2</v>
      </c>
      <c r="B59" s="16" t="n">
        <v>8</v>
      </c>
      <c r="C59" s="16" t="s">
        <v>81</v>
      </c>
      <c r="D59" s="17" t="n">
        <v>46249</v>
      </c>
      <c r="E59" s="18" t="s">
        <v>260</v>
      </c>
      <c r="F59" s="18" t="s">
        <v>261</v>
      </c>
      <c r="G59" s="16" t="s">
        <v>67</v>
      </c>
      <c r="H59" s="19" t="s">
        <v>262</v>
      </c>
      <c r="I59" s="16" t="s">
        <v>162</v>
      </c>
      <c r="J59" s="16" t="s">
        <v>55</v>
      </c>
      <c r="K59" s="16" t="s">
        <v>56</v>
      </c>
      <c r="L59" s="18" t="s">
        <v>263</v>
      </c>
    </row>
    <row r="60" customFormat="false" ht="24" hidden="false" customHeight="true" outlineLevel="0" collapsed="false">
      <c r="A60" s="25" t="s">
        <v>264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57.75" hidden="false" customHeight="true" outlineLevel="0" collapsed="false">
      <c r="A61" s="16" t="n">
        <v>3</v>
      </c>
      <c r="B61" s="16" t="n">
        <v>9</v>
      </c>
      <c r="C61" s="16" t="s">
        <v>49</v>
      </c>
      <c r="D61" s="17" t="n">
        <v>46251</v>
      </c>
      <c r="E61" s="18" t="s">
        <v>265</v>
      </c>
      <c r="F61" s="18" t="s">
        <v>266</v>
      </c>
      <c r="G61" s="16" t="s">
        <v>52</v>
      </c>
      <c r="H61" s="19" t="s">
        <v>267</v>
      </c>
      <c r="I61" s="16" t="s">
        <v>54</v>
      </c>
      <c r="J61" s="16" t="s">
        <v>55</v>
      </c>
      <c r="K61" s="16" t="s">
        <v>56</v>
      </c>
      <c r="L61" s="18" t="s">
        <v>268</v>
      </c>
    </row>
    <row r="62" customFormat="false" ht="57.75" hidden="false" customHeight="true" outlineLevel="0" collapsed="false">
      <c r="A62" s="20" t="n">
        <v>3</v>
      </c>
      <c r="B62" s="20" t="n">
        <v>9</v>
      </c>
      <c r="C62" s="20" t="s">
        <v>58</v>
      </c>
      <c r="D62" s="21" t="n">
        <v>46252</v>
      </c>
      <c r="E62" s="22" t="s">
        <v>269</v>
      </c>
      <c r="F62" s="22" t="s">
        <v>270</v>
      </c>
      <c r="G62" s="20" t="s">
        <v>67</v>
      </c>
      <c r="H62" s="23" t="s">
        <v>271</v>
      </c>
      <c r="I62" s="20" t="s">
        <v>85</v>
      </c>
      <c r="J62" s="20" t="s">
        <v>55</v>
      </c>
      <c r="K62" s="20" t="s">
        <v>56</v>
      </c>
      <c r="L62" s="22" t="s">
        <v>272</v>
      </c>
    </row>
    <row r="63" customFormat="false" ht="57.75" hidden="false" customHeight="true" outlineLevel="0" collapsed="false">
      <c r="A63" s="16" t="n">
        <v>3</v>
      </c>
      <c r="B63" s="16" t="n">
        <v>9</v>
      </c>
      <c r="C63" s="16" t="s">
        <v>64</v>
      </c>
      <c r="D63" s="17" t="n">
        <v>46253</v>
      </c>
      <c r="E63" s="18" t="s">
        <v>273</v>
      </c>
      <c r="F63" s="18" t="s">
        <v>274</v>
      </c>
      <c r="G63" s="16" t="s">
        <v>52</v>
      </c>
      <c r="H63" s="19" t="s">
        <v>275</v>
      </c>
      <c r="I63" s="16" t="s">
        <v>85</v>
      </c>
      <c r="J63" s="16" t="s">
        <v>55</v>
      </c>
      <c r="K63" s="16" t="s">
        <v>56</v>
      </c>
      <c r="L63" s="18" t="s">
        <v>276</v>
      </c>
    </row>
    <row r="64" customFormat="false" ht="57.75" hidden="false" customHeight="true" outlineLevel="0" collapsed="false">
      <c r="A64" s="20" t="n">
        <v>3</v>
      </c>
      <c r="B64" s="20" t="n">
        <v>9</v>
      </c>
      <c r="C64" s="20" t="s">
        <v>70</v>
      </c>
      <c r="D64" s="21" t="n">
        <v>46254</v>
      </c>
      <c r="E64" s="22" t="s">
        <v>277</v>
      </c>
      <c r="F64" s="22" t="s">
        <v>278</v>
      </c>
      <c r="G64" s="20" t="s">
        <v>67</v>
      </c>
      <c r="H64" s="23" t="s">
        <v>279</v>
      </c>
      <c r="I64" s="20" t="s">
        <v>54</v>
      </c>
      <c r="J64" s="20" t="s">
        <v>55</v>
      </c>
      <c r="K64" s="20" t="s">
        <v>56</v>
      </c>
      <c r="L64" s="22" t="s">
        <v>280</v>
      </c>
    </row>
    <row r="65" customFormat="false" ht="57.75" hidden="false" customHeight="true" outlineLevel="0" collapsed="false">
      <c r="A65" s="16" t="n">
        <v>3</v>
      </c>
      <c r="B65" s="16" t="n">
        <v>9</v>
      </c>
      <c r="C65" s="16" t="s">
        <v>76</v>
      </c>
      <c r="D65" s="17" t="n">
        <v>46255</v>
      </c>
      <c r="E65" s="18" t="s">
        <v>281</v>
      </c>
      <c r="F65" s="18" t="s">
        <v>282</v>
      </c>
      <c r="G65" s="16" t="s">
        <v>67</v>
      </c>
      <c r="H65" s="19" t="s">
        <v>283</v>
      </c>
      <c r="I65" s="16" t="s">
        <v>54</v>
      </c>
      <c r="J65" s="16" t="s">
        <v>55</v>
      </c>
      <c r="K65" s="16" t="s">
        <v>74</v>
      </c>
      <c r="L65" s="18" t="s">
        <v>284</v>
      </c>
    </row>
    <row r="66" customFormat="false" ht="57.75" hidden="false" customHeight="true" outlineLevel="0" collapsed="false">
      <c r="A66" s="20" t="n">
        <v>3</v>
      </c>
      <c r="B66" s="20" t="n">
        <v>9</v>
      </c>
      <c r="C66" s="20" t="s">
        <v>81</v>
      </c>
      <c r="D66" s="21" t="n">
        <v>46256</v>
      </c>
      <c r="E66" s="22" t="s">
        <v>285</v>
      </c>
      <c r="F66" s="22" t="s">
        <v>286</v>
      </c>
      <c r="G66" s="20" t="s">
        <v>67</v>
      </c>
      <c r="H66" s="23" t="s">
        <v>287</v>
      </c>
      <c r="I66" s="20" t="s">
        <v>162</v>
      </c>
      <c r="J66" s="20" t="s">
        <v>55</v>
      </c>
      <c r="K66" s="20" t="s">
        <v>56</v>
      </c>
      <c r="L66" s="22" t="s">
        <v>288</v>
      </c>
    </row>
    <row r="67" customFormat="false" ht="24" hidden="false" customHeight="true" outlineLevel="0" collapsed="false">
      <c r="A67" s="25" t="s">
        <v>289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57.75" hidden="false" customHeight="true" outlineLevel="0" collapsed="false">
      <c r="A68" s="20" t="n">
        <v>3</v>
      </c>
      <c r="B68" s="20" t="n">
        <v>10</v>
      </c>
      <c r="C68" s="20" t="s">
        <v>49</v>
      </c>
      <c r="D68" s="21" t="n">
        <v>46258</v>
      </c>
      <c r="E68" s="22" t="s">
        <v>290</v>
      </c>
      <c r="F68" s="22" t="s">
        <v>291</v>
      </c>
      <c r="G68" s="20" t="s">
        <v>52</v>
      </c>
      <c r="H68" s="23" t="s">
        <v>292</v>
      </c>
      <c r="I68" s="20" t="s">
        <v>85</v>
      </c>
      <c r="J68" s="20" t="s">
        <v>55</v>
      </c>
      <c r="K68" s="20" t="s">
        <v>56</v>
      </c>
      <c r="L68" s="22" t="s">
        <v>293</v>
      </c>
    </row>
    <row r="69" customFormat="false" ht="57.75" hidden="false" customHeight="true" outlineLevel="0" collapsed="false">
      <c r="A69" s="16" t="n">
        <v>3</v>
      </c>
      <c r="B69" s="16" t="n">
        <v>10</v>
      </c>
      <c r="C69" s="16" t="s">
        <v>58</v>
      </c>
      <c r="D69" s="17" t="n">
        <v>46259</v>
      </c>
      <c r="E69" s="18" t="s">
        <v>294</v>
      </c>
      <c r="F69" s="18" t="s">
        <v>295</v>
      </c>
      <c r="G69" s="16" t="s">
        <v>67</v>
      </c>
      <c r="H69" s="19" t="s">
        <v>296</v>
      </c>
      <c r="I69" s="16" t="s">
        <v>54</v>
      </c>
      <c r="J69" s="16" t="s">
        <v>55</v>
      </c>
      <c r="K69" s="16" t="s">
        <v>56</v>
      </c>
      <c r="L69" s="18" t="s">
        <v>297</v>
      </c>
    </row>
    <row r="70" customFormat="false" ht="57.75" hidden="false" customHeight="true" outlineLevel="0" collapsed="false">
      <c r="A70" s="20" t="n">
        <v>3</v>
      </c>
      <c r="B70" s="20" t="n">
        <v>10</v>
      </c>
      <c r="C70" s="20" t="s">
        <v>64</v>
      </c>
      <c r="D70" s="21" t="n">
        <v>46260</v>
      </c>
      <c r="E70" s="22" t="s">
        <v>298</v>
      </c>
      <c r="F70" s="22" t="s">
        <v>299</v>
      </c>
      <c r="G70" s="20" t="s">
        <v>67</v>
      </c>
      <c r="H70" s="23" t="s">
        <v>300</v>
      </c>
      <c r="I70" s="20" t="s">
        <v>116</v>
      </c>
      <c r="J70" s="20" t="s">
        <v>55</v>
      </c>
      <c r="K70" s="20" t="s">
        <v>74</v>
      </c>
      <c r="L70" s="22" t="s">
        <v>301</v>
      </c>
    </row>
    <row r="71" customFormat="false" ht="57.75" hidden="false" customHeight="true" outlineLevel="0" collapsed="false">
      <c r="A71" s="16" t="n">
        <v>3</v>
      </c>
      <c r="B71" s="16" t="n">
        <v>10</v>
      </c>
      <c r="C71" s="16" t="s">
        <v>70</v>
      </c>
      <c r="D71" s="17" t="n">
        <v>46261</v>
      </c>
      <c r="E71" s="18" t="s">
        <v>302</v>
      </c>
      <c r="F71" s="18" t="s">
        <v>303</v>
      </c>
      <c r="G71" s="16" t="s">
        <v>52</v>
      </c>
      <c r="H71" s="19" t="s">
        <v>304</v>
      </c>
      <c r="I71" s="16" t="s">
        <v>54</v>
      </c>
      <c r="J71" s="16" t="s">
        <v>55</v>
      </c>
      <c r="K71" s="16" t="s">
        <v>56</v>
      </c>
      <c r="L71" s="18" t="s">
        <v>305</v>
      </c>
    </row>
    <row r="72" customFormat="false" ht="57.75" hidden="false" customHeight="true" outlineLevel="0" collapsed="false">
      <c r="A72" s="20" t="n">
        <v>3</v>
      </c>
      <c r="B72" s="20" t="n">
        <v>10</v>
      </c>
      <c r="C72" s="20" t="s">
        <v>76</v>
      </c>
      <c r="D72" s="21" t="n">
        <v>46262</v>
      </c>
      <c r="E72" s="22" t="s">
        <v>306</v>
      </c>
      <c r="F72" s="22" t="s">
        <v>307</v>
      </c>
      <c r="G72" s="20" t="s">
        <v>67</v>
      </c>
      <c r="H72" s="23" t="s">
        <v>308</v>
      </c>
      <c r="I72" s="20" t="s">
        <v>116</v>
      </c>
      <c r="J72" s="20" t="s">
        <v>55</v>
      </c>
      <c r="K72" s="20" t="s">
        <v>56</v>
      </c>
      <c r="L72" s="22" t="s">
        <v>309</v>
      </c>
    </row>
    <row r="73" customFormat="false" ht="57.75" hidden="false" customHeight="true" outlineLevel="0" collapsed="false">
      <c r="A73" s="16" t="n">
        <v>3</v>
      </c>
      <c r="B73" s="16" t="n">
        <v>10</v>
      </c>
      <c r="C73" s="16" t="s">
        <v>81</v>
      </c>
      <c r="D73" s="17" t="n">
        <v>46263</v>
      </c>
      <c r="E73" s="18" t="s">
        <v>310</v>
      </c>
      <c r="F73" s="18" t="s">
        <v>311</v>
      </c>
      <c r="G73" s="16" t="s">
        <v>67</v>
      </c>
      <c r="H73" s="19" t="s">
        <v>312</v>
      </c>
      <c r="I73" s="16" t="s">
        <v>162</v>
      </c>
      <c r="J73" s="16" t="s">
        <v>55</v>
      </c>
      <c r="K73" s="16" t="s">
        <v>56</v>
      </c>
      <c r="L73" s="18" t="s">
        <v>313</v>
      </c>
    </row>
    <row r="74" customFormat="false" ht="24" hidden="false" customHeight="true" outlineLevel="0" collapsed="false">
      <c r="A74" s="25" t="s">
        <v>314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57.75" hidden="false" customHeight="true" outlineLevel="0" collapsed="false">
      <c r="A75" s="16" t="n">
        <v>3</v>
      </c>
      <c r="B75" s="16" t="n">
        <v>11</v>
      </c>
      <c r="C75" s="16" t="s">
        <v>49</v>
      </c>
      <c r="D75" s="17" t="n">
        <v>46265</v>
      </c>
      <c r="E75" s="18" t="s">
        <v>315</v>
      </c>
      <c r="F75" s="18" t="s">
        <v>316</v>
      </c>
      <c r="G75" s="16" t="s">
        <v>67</v>
      </c>
      <c r="H75" s="19" t="s">
        <v>317</v>
      </c>
      <c r="I75" s="16" t="s">
        <v>54</v>
      </c>
      <c r="J75" s="16" t="s">
        <v>55</v>
      </c>
      <c r="K75" s="16" t="s">
        <v>56</v>
      </c>
      <c r="L75" s="18" t="s">
        <v>318</v>
      </c>
    </row>
    <row r="76" customFormat="false" ht="57.75" hidden="false" customHeight="true" outlineLevel="0" collapsed="false">
      <c r="A76" s="20" t="n">
        <v>3</v>
      </c>
      <c r="B76" s="20" t="n">
        <v>11</v>
      </c>
      <c r="C76" s="20" t="s">
        <v>58</v>
      </c>
      <c r="D76" s="21" t="n">
        <v>46266</v>
      </c>
      <c r="E76" s="22" t="s">
        <v>319</v>
      </c>
      <c r="F76" s="22" t="s">
        <v>320</v>
      </c>
      <c r="G76" s="20" t="s">
        <v>67</v>
      </c>
      <c r="H76" s="23" t="s">
        <v>321</v>
      </c>
      <c r="I76" s="20" t="s">
        <v>54</v>
      </c>
      <c r="J76" s="20" t="s">
        <v>55</v>
      </c>
      <c r="K76" s="20" t="s">
        <v>56</v>
      </c>
      <c r="L76" s="22" t="s">
        <v>322</v>
      </c>
    </row>
    <row r="77" customFormat="false" ht="57.75" hidden="false" customHeight="true" outlineLevel="0" collapsed="false">
      <c r="A77" s="16" t="n">
        <v>3</v>
      </c>
      <c r="B77" s="16" t="n">
        <v>11</v>
      </c>
      <c r="C77" s="16" t="s">
        <v>64</v>
      </c>
      <c r="D77" s="17" t="n">
        <v>46267</v>
      </c>
      <c r="E77" s="18" t="s">
        <v>323</v>
      </c>
      <c r="F77" s="18" t="s">
        <v>324</v>
      </c>
      <c r="G77" s="16" t="s">
        <v>67</v>
      </c>
      <c r="H77" s="19" t="s">
        <v>325</v>
      </c>
      <c r="I77" s="16" t="s">
        <v>54</v>
      </c>
      <c r="J77" s="16" t="s">
        <v>55</v>
      </c>
      <c r="K77" s="16" t="s">
        <v>56</v>
      </c>
      <c r="L77" s="18" t="s">
        <v>326</v>
      </c>
    </row>
    <row r="78" customFormat="false" ht="57.75" hidden="false" customHeight="true" outlineLevel="0" collapsed="false">
      <c r="A78" s="20" t="n">
        <v>3</v>
      </c>
      <c r="B78" s="20" t="n">
        <v>11</v>
      </c>
      <c r="C78" s="20" t="s">
        <v>70</v>
      </c>
      <c r="D78" s="21" t="n">
        <v>46268</v>
      </c>
      <c r="E78" s="22" t="s">
        <v>327</v>
      </c>
      <c r="F78" s="22" t="s">
        <v>328</v>
      </c>
      <c r="G78" s="20" t="s">
        <v>67</v>
      </c>
      <c r="H78" s="23" t="s">
        <v>329</v>
      </c>
      <c r="I78" s="20" t="s">
        <v>54</v>
      </c>
      <c r="J78" s="20" t="s">
        <v>55</v>
      </c>
      <c r="K78" s="20" t="s">
        <v>56</v>
      </c>
      <c r="L78" s="22" t="s">
        <v>330</v>
      </c>
    </row>
    <row r="79" customFormat="false" ht="57.75" hidden="false" customHeight="true" outlineLevel="0" collapsed="false">
      <c r="A79" s="16" t="n">
        <v>3</v>
      </c>
      <c r="B79" s="16" t="n">
        <v>11</v>
      </c>
      <c r="C79" s="16" t="s">
        <v>76</v>
      </c>
      <c r="D79" s="17" t="n">
        <v>46269</v>
      </c>
      <c r="E79" s="18" t="s">
        <v>331</v>
      </c>
      <c r="F79" s="18" t="s">
        <v>332</v>
      </c>
      <c r="G79" s="16" t="s">
        <v>67</v>
      </c>
      <c r="H79" s="19" t="s">
        <v>333</v>
      </c>
      <c r="I79" s="16" t="s">
        <v>116</v>
      </c>
      <c r="J79" s="16" t="s">
        <v>55</v>
      </c>
      <c r="K79" s="16" t="s">
        <v>56</v>
      </c>
      <c r="L79" s="18" t="s">
        <v>334</v>
      </c>
    </row>
    <row r="80" customFormat="false" ht="57.75" hidden="false" customHeight="true" outlineLevel="0" collapsed="false">
      <c r="A80" s="20" t="n">
        <v>3</v>
      </c>
      <c r="B80" s="20" t="n">
        <v>11</v>
      </c>
      <c r="C80" s="20" t="s">
        <v>81</v>
      </c>
      <c r="D80" s="21" t="n">
        <v>46270</v>
      </c>
      <c r="E80" s="22" t="s">
        <v>335</v>
      </c>
      <c r="F80" s="22" t="s">
        <v>336</v>
      </c>
      <c r="G80" s="20" t="s">
        <v>67</v>
      </c>
      <c r="H80" s="23" t="s">
        <v>337</v>
      </c>
      <c r="I80" s="20" t="s">
        <v>162</v>
      </c>
      <c r="J80" s="20" t="s">
        <v>55</v>
      </c>
      <c r="K80" s="20" t="s">
        <v>56</v>
      </c>
      <c r="L80" s="22" t="s">
        <v>338</v>
      </c>
    </row>
    <row r="81" customFormat="false" ht="24" hidden="false" customHeight="true" outlineLevel="0" collapsed="false">
      <c r="A81" s="25" t="s">
        <v>339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57.75" hidden="false" customHeight="true" outlineLevel="0" collapsed="false">
      <c r="A82" s="20" t="n">
        <v>3</v>
      </c>
      <c r="B82" s="20" t="n">
        <v>12</v>
      </c>
      <c r="C82" s="20" t="s">
        <v>49</v>
      </c>
      <c r="D82" s="21" t="n">
        <v>46272</v>
      </c>
      <c r="E82" s="22" t="s">
        <v>340</v>
      </c>
      <c r="F82" s="22" t="s">
        <v>341</v>
      </c>
      <c r="G82" s="20" t="s">
        <v>67</v>
      </c>
      <c r="H82" s="23" t="s">
        <v>342</v>
      </c>
      <c r="I82" s="20" t="s">
        <v>54</v>
      </c>
      <c r="J82" s="20" t="s">
        <v>55</v>
      </c>
      <c r="K82" s="20" t="s">
        <v>56</v>
      </c>
      <c r="L82" s="22" t="s">
        <v>343</v>
      </c>
    </row>
    <row r="83" customFormat="false" ht="57.75" hidden="false" customHeight="true" outlineLevel="0" collapsed="false">
      <c r="A83" s="16" t="n">
        <v>3</v>
      </c>
      <c r="B83" s="16" t="n">
        <v>12</v>
      </c>
      <c r="C83" s="16" t="s">
        <v>58</v>
      </c>
      <c r="D83" s="17" t="n">
        <v>46273</v>
      </c>
      <c r="E83" s="18" t="s">
        <v>344</v>
      </c>
      <c r="F83" s="18" t="s">
        <v>345</v>
      </c>
      <c r="G83" s="16" t="s">
        <v>67</v>
      </c>
      <c r="H83" s="19" t="s">
        <v>346</v>
      </c>
      <c r="I83" s="16" t="s">
        <v>116</v>
      </c>
      <c r="J83" s="16" t="s">
        <v>55</v>
      </c>
      <c r="K83" s="16" t="s">
        <v>74</v>
      </c>
      <c r="L83" s="18" t="s">
        <v>347</v>
      </c>
    </row>
    <row r="84" customFormat="false" ht="57.75" hidden="false" customHeight="true" outlineLevel="0" collapsed="false">
      <c r="A84" s="20" t="n">
        <v>3</v>
      </c>
      <c r="B84" s="20" t="n">
        <v>12</v>
      </c>
      <c r="C84" s="20" t="s">
        <v>64</v>
      </c>
      <c r="D84" s="21" t="n">
        <v>46274</v>
      </c>
      <c r="E84" s="22" t="s">
        <v>348</v>
      </c>
      <c r="F84" s="22" t="s">
        <v>349</v>
      </c>
      <c r="G84" s="20" t="s">
        <v>67</v>
      </c>
      <c r="H84" s="23" t="s">
        <v>350</v>
      </c>
      <c r="I84" s="20" t="s">
        <v>54</v>
      </c>
      <c r="J84" s="20" t="s">
        <v>55</v>
      </c>
      <c r="K84" s="20" t="s">
        <v>56</v>
      </c>
      <c r="L84" s="22" t="s">
        <v>351</v>
      </c>
    </row>
    <row r="85" customFormat="false" ht="57.75" hidden="false" customHeight="true" outlineLevel="0" collapsed="false">
      <c r="A85" s="16" t="n">
        <v>3</v>
      </c>
      <c r="B85" s="16" t="n">
        <v>12</v>
      </c>
      <c r="C85" s="16" t="s">
        <v>70</v>
      </c>
      <c r="D85" s="17" t="n">
        <v>46275</v>
      </c>
      <c r="E85" s="18" t="s">
        <v>352</v>
      </c>
      <c r="F85" s="18" t="s">
        <v>353</v>
      </c>
      <c r="G85" s="16" t="s">
        <v>52</v>
      </c>
      <c r="H85" s="19" t="s">
        <v>354</v>
      </c>
      <c r="I85" s="16" t="s">
        <v>54</v>
      </c>
      <c r="J85" s="16" t="s">
        <v>55</v>
      </c>
      <c r="K85" s="16" t="s">
        <v>56</v>
      </c>
      <c r="L85" s="18" t="s">
        <v>355</v>
      </c>
    </row>
    <row r="86" customFormat="false" ht="57.75" hidden="false" customHeight="true" outlineLevel="0" collapsed="false">
      <c r="A86" s="20" t="n">
        <v>3</v>
      </c>
      <c r="B86" s="20" t="n">
        <v>12</v>
      </c>
      <c r="C86" s="20" t="s">
        <v>76</v>
      </c>
      <c r="D86" s="21" t="n">
        <v>46276</v>
      </c>
      <c r="E86" s="22" t="s">
        <v>356</v>
      </c>
      <c r="F86" s="22" t="s">
        <v>357</v>
      </c>
      <c r="G86" s="20" t="s">
        <v>67</v>
      </c>
      <c r="H86" s="23" t="s">
        <v>358</v>
      </c>
      <c r="I86" s="20" t="s">
        <v>116</v>
      </c>
      <c r="J86" s="20" t="s">
        <v>55</v>
      </c>
      <c r="K86" s="20" t="s">
        <v>56</v>
      </c>
      <c r="L86" s="22" t="s">
        <v>359</v>
      </c>
    </row>
    <row r="87" customFormat="false" ht="57.75" hidden="false" customHeight="true" outlineLevel="0" collapsed="false">
      <c r="A87" s="16" t="n">
        <v>3</v>
      </c>
      <c r="B87" s="16" t="n">
        <v>12</v>
      </c>
      <c r="C87" s="16" t="s">
        <v>81</v>
      </c>
      <c r="D87" s="17" t="n">
        <v>46277</v>
      </c>
      <c r="E87" s="18" t="s">
        <v>360</v>
      </c>
      <c r="F87" s="18" t="s">
        <v>361</v>
      </c>
      <c r="G87" s="16" t="s">
        <v>67</v>
      </c>
      <c r="H87" s="19" t="s">
        <v>362</v>
      </c>
      <c r="I87" s="16" t="s">
        <v>162</v>
      </c>
      <c r="J87" s="16" t="s">
        <v>55</v>
      </c>
      <c r="K87" s="16" t="s">
        <v>56</v>
      </c>
      <c r="L87" s="18" t="s">
        <v>363</v>
      </c>
    </row>
    <row r="88" customFormat="false" ht="24" hidden="false" customHeight="true" outlineLevel="0" collapsed="false">
      <c r="A88" s="25" t="s">
        <v>364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57.75" hidden="false" customHeight="true" outlineLevel="0" collapsed="false">
      <c r="A89" s="16" t="n">
        <v>3</v>
      </c>
      <c r="B89" s="16" t="n">
        <v>13</v>
      </c>
      <c r="C89" s="16" t="s">
        <v>49</v>
      </c>
      <c r="D89" s="17" t="n">
        <v>46279</v>
      </c>
      <c r="E89" s="18" t="s">
        <v>365</v>
      </c>
      <c r="F89" s="18" t="s">
        <v>366</v>
      </c>
      <c r="G89" s="16" t="s">
        <v>67</v>
      </c>
      <c r="H89" s="19" t="s">
        <v>367</v>
      </c>
      <c r="I89" s="16" t="s">
        <v>116</v>
      </c>
      <c r="J89" s="16" t="s">
        <v>55</v>
      </c>
      <c r="K89" s="16" t="s">
        <v>56</v>
      </c>
      <c r="L89" s="18" t="s">
        <v>368</v>
      </c>
    </row>
    <row r="90" customFormat="false" ht="57.75" hidden="false" customHeight="true" outlineLevel="0" collapsed="false">
      <c r="A90" s="20" t="n">
        <v>3</v>
      </c>
      <c r="B90" s="20" t="n">
        <v>13</v>
      </c>
      <c r="C90" s="20" t="s">
        <v>58</v>
      </c>
      <c r="D90" s="21" t="n">
        <v>46280</v>
      </c>
      <c r="E90" s="22" t="s">
        <v>369</v>
      </c>
      <c r="F90" s="22" t="s">
        <v>370</v>
      </c>
      <c r="G90" s="20" t="s">
        <v>67</v>
      </c>
      <c r="H90" s="23" t="s">
        <v>371</v>
      </c>
      <c r="I90" s="20" t="s">
        <v>116</v>
      </c>
      <c r="J90" s="20" t="s">
        <v>55</v>
      </c>
      <c r="K90" s="20" t="s">
        <v>56</v>
      </c>
      <c r="L90" s="22" t="s">
        <v>372</v>
      </c>
    </row>
    <row r="91" customFormat="false" ht="57.75" hidden="false" customHeight="true" outlineLevel="0" collapsed="false">
      <c r="A91" s="16" t="n">
        <v>3</v>
      </c>
      <c r="B91" s="16" t="n">
        <v>13</v>
      </c>
      <c r="C91" s="16" t="s">
        <v>64</v>
      </c>
      <c r="D91" s="17" t="n">
        <v>46281</v>
      </c>
      <c r="E91" s="18" t="s">
        <v>373</v>
      </c>
      <c r="F91" s="18" t="s">
        <v>374</v>
      </c>
      <c r="G91" s="16" t="s">
        <v>67</v>
      </c>
      <c r="H91" s="19" t="s">
        <v>375</v>
      </c>
      <c r="I91" s="16" t="s">
        <v>116</v>
      </c>
      <c r="J91" s="16" t="s">
        <v>55</v>
      </c>
      <c r="K91" s="16" t="s">
        <v>56</v>
      </c>
      <c r="L91" s="18" t="s">
        <v>376</v>
      </c>
    </row>
    <row r="92" customFormat="false" ht="57.75" hidden="false" customHeight="true" outlineLevel="0" collapsed="false">
      <c r="A92" s="20" t="n">
        <v>3</v>
      </c>
      <c r="B92" s="20" t="n">
        <v>13</v>
      </c>
      <c r="C92" s="20" t="s">
        <v>70</v>
      </c>
      <c r="D92" s="21" t="n">
        <v>46282</v>
      </c>
      <c r="E92" s="22" t="s">
        <v>377</v>
      </c>
      <c r="F92" s="22" t="s">
        <v>378</v>
      </c>
      <c r="G92" s="20" t="s">
        <v>67</v>
      </c>
      <c r="H92" s="23" t="s">
        <v>379</v>
      </c>
      <c r="I92" s="20" t="s">
        <v>116</v>
      </c>
      <c r="J92" s="20" t="s">
        <v>55</v>
      </c>
      <c r="K92" s="20" t="s">
        <v>56</v>
      </c>
      <c r="L92" s="22" t="s">
        <v>380</v>
      </c>
    </row>
    <row r="93" customFormat="false" ht="57.75" hidden="false" customHeight="true" outlineLevel="0" collapsed="false">
      <c r="A93" s="16" t="n">
        <v>3</v>
      </c>
      <c r="B93" s="16" t="n">
        <v>13</v>
      </c>
      <c r="C93" s="16" t="s">
        <v>76</v>
      </c>
      <c r="D93" s="17" t="n">
        <v>46283</v>
      </c>
      <c r="E93" s="18" t="s">
        <v>381</v>
      </c>
      <c r="F93" s="18" t="s">
        <v>382</v>
      </c>
      <c r="G93" s="16" t="s">
        <v>67</v>
      </c>
      <c r="H93" s="19" t="s">
        <v>383</v>
      </c>
      <c r="I93" s="16" t="s">
        <v>54</v>
      </c>
      <c r="J93" s="16" t="s">
        <v>55</v>
      </c>
      <c r="K93" s="16" t="s">
        <v>56</v>
      </c>
      <c r="L93" s="18" t="s">
        <v>384</v>
      </c>
    </row>
    <row r="94" customFormat="false" ht="57.75" hidden="false" customHeight="true" outlineLevel="0" collapsed="false">
      <c r="A94" s="20" t="n">
        <v>3</v>
      </c>
      <c r="B94" s="20" t="n">
        <v>13</v>
      </c>
      <c r="C94" s="20" t="s">
        <v>81</v>
      </c>
      <c r="D94" s="21" t="n">
        <v>46284</v>
      </c>
      <c r="E94" s="22" t="s">
        <v>385</v>
      </c>
      <c r="F94" s="22" t="s">
        <v>386</v>
      </c>
      <c r="G94" s="20" t="s">
        <v>67</v>
      </c>
      <c r="H94" s="23" t="s">
        <v>387</v>
      </c>
      <c r="I94" s="20" t="s">
        <v>388</v>
      </c>
      <c r="J94" s="20" t="s">
        <v>55</v>
      </c>
      <c r="K94" s="20" t="s">
        <v>74</v>
      </c>
      <c r="L94" s="22" t="s">
        <v>389</v>
      </c>
    </row>
  </sheetData>
  <autoFilter ref="A3:L94"/>
  <mergeCells count="15">
    <mergeCell ref="A1:L1"/>
    <mergeCell ref="A2:L2"/>
    <mergeCell ref="A4:L4"/>
    <mergeCell ref="A11:L11"/>
    <mergeCell ref="A18:L18"/>
    <mergeCell ref="A25:L25"/>
    <mergeCell ref="A32:L32"/>
    <mergeCell ref="A39:L39"/>
    <mergeCell ref="A46:L46"/>
    <mergeCell ref="A53:L53"/>
    <mergeCell ref="A60:L60"/>
    <mergeCell ref="A67:L67"/>
    <mergeCell ref="A74:L74"/>
    <mergeCell ref="A81:L81"/>
    <mergeCell ref="A88:L88"/>
  </mergeCells>
  <conditionalFormatting sqref="J4:J94">
    <cfRule type="cellIs" priority="2" operator="equal" aboveAverage="0" equalAverage="0" bottom="0" percent="0" rank="0" text="" dxfId="21">
      <formula>"Not Started"</formula>
    </cfRule>
    <cfRule type="cellIs" priority="3" operator="equal" aboveAverage="0" equalAverage="0" bottom="0" percent="0" rank="0" text="" dxfId="22">
      <formula>"In Progress"</formula>
    </cfRule>
    <cfRule type="cellIs" priority="4" operator="equal" aboveAverage="0" equalAverage="0" bottom="0" percent="0" rank="0" text="" dxfId="23">
      <formula>"Done"</formula>
    </cfRule>
  </conditionalFormatting>
  <conditionalFormatting sqref="K4:K94">
    <cfRule type="cellIs" priority="5" operator="equal" aboveAverage="0" equalAverage="0" bottom="0" percent="0" rank="0" text="" dxfId="24">
      <formula>"High"</formula>
    </cfRule>
    <cfRule type="cellIs" priority="6" operator="equal" aboveAverage="0" equalAverage="0" bottom="0" percent="0" rank="0" text="" dxfId="22">
      <formula>"Medium"</formula>
    </cfRule>
    <cfRule type="cellIs" priority="7" operator="equal" aboveAverage="0" equalAverage="0" bottom="0" percent="0" rank="0" text="" dxfId="25">
      <formula>"Low"</formula>
    </cfRule>
  </conditionalFormatting>
  <conditionalFormatting sqref="G4:G94">
    <cfRule type="cellIs" priority="8" operator="equal" aboveAverage="0" equalAverage="0" bottom="0" percent="0" rank="0" text="" dxfId="26">
      <formula>"Course"</formula>
    </cfRule>
    <cfRule type="cellIs" priority="9" operator="equal" aboveAverage="0" equalAverage="0" bottom="0" percent="0" rank="0" text="" dxfId="24">
      <formula>"YouTube"</formula>
    </cfRule>
    <cfRule type="cellIs" priority="10" operator="equal" aboveAverage="0" equalAverage="0" bottom="0" percent="0" rank="0" text="" dxfId="25">
      <formula>"Doc"</formula>
    </cfRule>
    <cfRule type="cellIs" priority="11" operator="equal" aboveAverage="0" equalAverage="0" bottom="0" percent="0" rank="0" text="" dxfId="27">
      <formula>"Book"</formula>
    </cfRule>
  </conditionalFormatting>
  <dataValidations count="3">
    <dataValidation allowBlank="true" errorStyle="stop" operator="between" showDropDown="false" showErrorMessage="false" showInputMessage="false" sqref="J4:J94" type="list">
      <formula1>"Not Started,In Progress,Done"</formula1>
      <formula2>0</formula2>
    </dataValidation>
    <dataValidation allowBlank="true" errorStyle="stop" operator="between" showDropDown="false" showErrorMessage="false" showInputMessage="false" sqref="K4:K94" type="list">
      <formula1>"High,Medium,Low"</formula1>
      <formula2>0</formula2>
    </dataValidation>
    <dataValidation allowBlank="true" errorStyle="stop" operator="between" showDropDown="false" showErrorMessage="false" showInputMessage="false" sqref="G4:G94" type="list">
      <formula1>"Course,YouTube,Doc,Book"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2026-06-21T06:22:57Z</dcterms:created>
  <dc:creator>openpyxl</dc:creator>
  <dc:description/>
  <dc:language>en-US</dc:language>
  <cp:lastModifiedBy/>
  <dcterms:modified xsi:type="dcterms:W3CDTF">2026-06-21T06:23:53Z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